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모듈 별 견적" sheetId="1" r:id="rId4"/>
    <sheet state="visible" name="MM 별 견적" sheetId="2" r:id="rId5"/>
    <sheet state="visible" name="SET 투입 인력 및 비용" sheetId="3" r:id="rId6"/>
    <sheet state="visible" name="SET 주요 휴일" sheetId="4" r:id="rId7"/>
  </sheets>
  <definedNames/>
  <calcPr/>
</workbook>
</file>

<file path=xl/sharedStrings.xml><?xml version="1.0" encoding="utf-8"?>
<sst xmlns="http://schemas.openxmlformats.org/spreadsheetml/2006/main" count="203" uniqueCount="152">
  <si>
    <r>
      <rPr>
        <rFont val="Noto Sans KR"/>
        <b/>
        <color theme="1"/>
        <sz val="8.0"/>
      </rPr>
      <t xml:space="preserve">
PROTO INC.  </t>
    </r>
    <r>
      <rPr>
        <rFont val="Noto Sans KR"/>
        <b val="0"/>
        <color theme="1"/>
        <sz val="8.0"/>
      </rPr>
      <t>Software Development</t>
    </r>
  </si>
  <si>
    <t xml:space="preserve">  일본 본사</t>
  </si>
  <si>
    <t>회사 명 : 株式会社ｐｒｏｔｏ
사업자 번호 : 7011101083414
대표자 : 金　知賢 / 金　書浩
주소 : 東京都新宿区新宿2-11-7第33宮庭ビル5F
연락처 : +81 50-5539-8928</t>
  </si>
  <si>
    <r>
      <rPr>
        <rFont val="Noto Sans KR"/>
        <b/>
        <color theme="1"/>
        <sz val="24.0"/>
      </rPr>
      <t>(주)테이크원컴퍼니</t>
    </r>
    <r>
      <rPr>
        <rFont val="Noto Sans KR"/>
        <b/>
        <color theme="1"/>
        <sz val="14.0"/>
      </rPr>
      <t xml:space="preserve">  </t>
    </r>
    <r>
      <rPr>
        <rFont val="Noto Sans KR"/>
        <b val="0"/>
        <color theme="1"/>
        <sz val="14.0"/>
      </rPr>
      <t>귀하</t>
    </r>
  </si>
  <si>
    <t xml:space="preserve"> 한국 지사</t>
  </si>
  <si>
    <t>회사 명 : 주식회사 투스페이스
사업자 번호 : 714-88-02482
대표자 : 김서호
주소 : 서울특별시 강남구 선릉로145길 13, 4F
연락처 : +82 70-7174-2181</t>
  </si>
  <si>
    <t xml:space="preserve"> 아래와 같이 견적합니다 </t>
  </si>
  <si>
    <t xml:space="preserve">  주요 사업</t>
  </si>
  <si>
    <t>SW 개발 / IT 서비스 운영 / 종합 광고 대행</t>
  </si>
  <si>
    <t>견적일자</t>
  </si>
  <si>
    <t xml:space="preserve">  세일즈 담당자</t>
  </si>
  <si>
    <r>
      <rPr>
        <rFont val="Noto Sans KR"/>
        <b/>
        <color theme="1"/>
        <sz val="8.0"/>
      </rPr>
      <t>B2B세일즈팀</t>
    </r>
    <r>
      <rPr>
        <rFont val="Noto Sans KR"/>
        <color theme="1"/>
        <sz val="8.0"/>
      </rPr>
      <t xml:space="preserve"> 김성훈 매니저</t>
    </r>
  </si>
  <si>
    <t>유효기간</t>
  </si>
  <si>
    <t xml:space="preserve">  연락처</t>
  </si>
  <si>
    <t xml:space="preserve"> +82 10-4972-5418</t>
  </si>
  <si>
    <t xml:space="preserve">  이메일 주소</t>
  </si>
  <si>
    <t>dante@proto.co.jp</t>
  </si>
  <si>
    <t>최종 견적가</t>
  </si>
  <si>
    <t xml:space="preserve"> 직접 노무비 (업무처리비)</t>
  </si>
  <si>
    <t xml:space="preserve"> 제경비</t>
  </si>
  <si>
    <t xml:space="preserve"> 기술료 (수익률)</t>
  </si>
  <si>
    <t xml:space="preserve"> 파트너 할인</t>
  </si>
  <si>
    <t xml:space="preserve"> 최종 결과물</t>
  </si>
  <si>
    <t>결과물</t>
  </si>
  <si>
    <t>OTT 모바일 앱 (Android, iOS) 및 백엔드,
어드민 사이트, 랜딩페이지</t>
  </si>
  <si>
    <t>결제 방법</t>
  </si>
  <si>
    <t>선금 40% / 중도금 30% / 잔금 30%</t>
  </si>
  <si>
    <t>개발 기간</t>
  </si>
  <si>
    <t>2025.05.01 ~ 2025.08.31</t>
  </si>
  <si>
    <t>청구 방법</t>
  </si>
  <si>
    <t>전자세금계산서 발행</t>
  </si>
  <si>
    <t>세부 견적 기준</t>
  </si>
  <si>
    <t>NO</t>
  </si>
  <si>
    <t>중분류</t>
  </si>
  <si>
    <t>주요 기능</t>
  </si>
  <si>
    <t>예상 시작일</t>
  </si>
  <si>
    <t>예상 종료일</t>
  </si>
  <si>
    <t>월 비용</t>
  </si>
  <si>
    <t>소요일</t>
  </si>
  <si>
    <t>총합</t>
  </si>
  <si>
    <t>_x0008_부가세</t>
  </si>
  <si>
    <t>프로젝트 관리 및 기획 (1.5M/M 투입 기준)</t>
  </si>
  <si>
    <t>프로젝트 관리</t>
  </si>
  <si>
    <t>프로젝트 세팅</t>
  </si>
  <si>
    <t>프로젝트 매니지먼트</t>
  </si>
  <si>
    <t>서비스 기획</t>
  </si>
  <si>
    <t>소계</t>
  </si>
  <si>
    <t>제공 기획안에 대한 예상 견적</t>
  </si>
  <si>
    <t>UIUX 디자인</t>
  </si>
  <si>
    <t xml:space="preserve">
 - OTT 서비스 앱 화면 
 L 영상 플레이 화면
 L 배너 영역
 L 작품 상세정보 영역
 L 에피소드 목록
 L 마이페이지
 L 조회수 노출
 - 어드민 페이지
 - 랜딩 페이지
</t>
  </si>
  <si>
    <t>영상 관리</t>
  </si>
  <si>
    <t xml:space="preserve"> 
- 영상 플레이어 기능
 - 영상 설정 (자막, 배속, 화질, pip, 상세)
 - 플렛폼 로고 삽입
 - 녹화 제한 기능
</t>
  </si>
  <si>
    <t>회차 관리</t>
  </si>
  <si>
    <t xml:space="preserve">
 - 다음 회차 자동 재생
 - 결제창 표시 및 자동 결제 기능
</t>
  </si>
  <si>
    <t>인터렉션
 &amp; 커뮤니티</t>
  </si>
  <si>
    <t xml:space="preserve">
 - 좋아요 기능
 - 외부 공유 기능
 - 알림 기능
 - 인터렉티브 기능
</t>
  </si>
  <si>
    <t>광고 기능</t>
  </si>
  <si>
    <t xml:space="preserve">
 - 영상 중간 광고 기능
 - 배너 광고 기능
 - 영상 상단 PPL 상품 기능
 - 커머스 바로가기 링크 기능
 - 인앱 광고 시청 후 리워드 기능
</t>
  </si>
  <si>
    <t>결제 관리</t>
  </si>
  <si>
    <t xml:space="preserve">
 - 결제 서비스 관리
 - 작품당 구독 모델
 - 일회성 충전식 구독 모델
 - 결제 후 보상 (ex: 추가 콘텐츠, 서비스 코인 등)
</t>
  </si>
  <si>
    <t>AI 활용 기능</t>
  </si>
  <si>
    <t xml:space="preserve">
 - 다국어 자막 기능(실시간 불가)
</t>
  </si>
  <si>
    <t>서버 관리</t>
  </si>
  <si>
    <t xml:space="preserve">
 - DRM 서버 구축
 - CDN 최적화
 - 트래픽 급증 대응 기능
 - 로그 분석 &amp; 데이터 수집(조회수, 좋아요 등등)
</t>
  </si>
  <si>
    <t>유저 관리</t>
  </si>
  <si>
    <t xml:space="preserve">
 - SNS 로그인 (구글, 애플, 카카오로그인 기준)
</t>
  </si>
  <si>
    <t>베포 관리</t>
  </si>
  <si>
    <t xml:space="preserve">
 - 베포 및 심사 준비
 - 심사 대응
</t>
  </si>
  <si>
    <t>누락 기능에 대한 예상 견적</t>
  </si>
  <si>
    <t xml:space="preserve">
 - 시청한 영상 기록 표시
</t>
  </si>
  <si>
    <t xml:space="preserve">
 - 시청한 회차 기록 기능
</t>
  </si>
  <si>
    <t xml:space="preserve">
 - 서비스 코인 관리 기능
</t>
  </si>
  <si>
    <t xml:space="preserve">
 - 회원 데이터 관리
- 마이페이지
 - 회원 설정
  L 닉네임 수정
  L 로그아웃
  L 회원탈퇴
</t>
  </si>
  <si>
    <t>기타 기능</t>
  </si>
  <si>
    <t xml:space="preserve">
 - 랜딩 페이지 제작
 - 검색 기능
 - 작품 리스트, 에피소드 리스트
 - 문의 관리
 - 다국어 기능
 - 권한 관리
</t>
  </si>
  <si>
    <t>어드민 페이지</t>
  </si>
  <si>
    <t xml:space="preserve">
 - 영상 등록
 - 영상 광고 관리
 - 배너 광고 관리
 - 회원 관리
 - 결제 이력 관리
 - 문의 관리
</t>
  </si>
  <si>
    <t>랜딩 페이지</t>
  </si>
  <si>
    <t xml:space="preserve">
 - 홈페이지 제작
</t>
  </si>
  <si>
    <t xml:space="preserve"> 기타</t>
  </si>
  <si>
    <t>1. 파트너사에게 제공하는 할인 견적이므로, 외부 공유는 어려운 점 양해 부탁드립니다.
2. 세부 기능 명세가 러프하여, 다소 러프한 견적인 점을 감안해주시기 바랍니다.</t>
  </si>
  <si>
    <t>ⓒ 2025. PROTO INC. all rights reserved.</t>
  </si>
  <si>
    <r>
      <rPr>
        <rFont val="Noto Sans KR"/>
        <b/>
        <color theme="1"/>
        <sz val="8.0"/>
      </rPr>
      <t xml:space="preserve">
PROTO INC.  </t>
    </r>
    <r>
      <rPr>
        <rFont val="Noto Sans KR"/>
        <b val="0"/>
        <color theme="1"/>
        <sz val="8.0"/>
      </rPr>
      <t>Software Development</t>
    </r>
  </si>
  <si>
    <r>
      <rPr>
        <rFont val="Noto Sans KR"/>
        <b/>
        <color theme="1"/>
        <sz val="24.0"/>
      </rPr>
      <t>(주)테이크원컴퍼니</t>
    </r>
    <r>
      <rPr>
        <rFont val="Noto Sans KR"/>
        <b/>
        <color theme="1"/>
        <sz val="14.0"/>
      </rPr>
      <t xml:space="preserve">  </t>
    </r>
    <r>
      <rPr>
        <rFont val="Noto Sans KR"/>
        <b val="0"/>
        <color theme="1"/>
        <sz val="14.0"/>
      </rPr>
      <t>귀하</t>
    </r>
  </si>
  <si>
    <r>
      <rPr>
        <rFont val="Noto Sans KR"/>
        <b/>
        <color theme="1"/>
        <sz val="8.0"/>
      </rPr>
      <t>B2B세일즈팀</t>
    </r>
    <r>
      <rPr>
        <rFont val="Noto Sans KR"/>
        <color theme="1"/>
        <sz val="8.0"/>
      </rPr>
      <t xml:space="preserve"> 김성훈 매니저</t>
    </r>
  </si>
  <si>
    <t>M/M</t>
  </si>
  <si>
    <t>PMO</t>
  </si>
  <si>
    <t xml:space="preserve"> - 프로젝트 세팅
 - 프로젝트 통합 관리</t>
  </si>
  <si>
    <t>기획</t>
  </si>
  <si>
    <t xml:space="preserve"> - 비디오 서비스 기획
 - 결제 서비스  기획
 - 프로젝트 기획</t>
  </si>
  <si>
    <t>디자인</t>
  </si>
  <si>
    <t xml:space="preserve"> - 앱 디자인
 - 어드민 페이지 디자인
 - 랜딩 페이지 디자인</t>
  </si>
  <si>
    <t>웹 프론트엔드 
미들급</t>
  </si>
  <si>
    <t xml:space="preserve"> - 어드민 페이지 제작
 - 랜딩 페이지 제작</t>
  </si>
  <si>
    <t>리액트 네이티브
시니어급</t>
  </si>
  <si>
    <t xml:space="preserve"> - 영상, 회차, 광고 개발
 - 프로젝트 개발 총괄</t>
  </si>
  <si>
    <t>리액트 네이티브
미들급</t>
  </si>
  <si>
    <t xml:space="preserve"> - 결제, 유저 관리, 기타 기능 개발
 - 베포 관리</t>
  </si>
  <si>
    <t>백엔드
시니어급</t>
  </si>
  <si>
    <t xml:space="preserve"> - 영상, 회차 광고 개발
 - 서버 구축</t>
  </si>
  <si>
    <t>백엔드
미들급</t>
  </si>
  <si>
    <t xml:space="preserve"> - 결제, 유저 관리, 기타 기능 개발</t>
  </si>
  <si>
    <t>투입 인력</t>
  </si>
  <si>
    <t>성함</t>
  </si>
  <si>
    <t>역할</t>
  </si>
  <si>
    <t>연차</t>
  </si>
  <si>
    <t>직접 인건비 (급여)</t>
  </si>
  <si>
    <t>간접비 (4대보험료 등)</t>
  </si>
  <si>
    <t>프로젝트 직접 경비</t>
  </si>
  <si>
    <t>월 실제 비용</t>
  </si>
  <si>
    <t>예상 업무 시간</t>
  </si>
  <si>
    <t>김지현</t>
  </si>
  <si>
    <t>PMO(프로젝트 통합 관리)</t>
  </si>
  <si>
    <t>김서호</t>
  </si>
  <si>
    <t>PO(서비스 기획) / 미들급</t>
  </si>
  <si>
    <t>서윤</t>
  </si>
  <si>
    <t>UIUX 디자이너 / 미들급</t>
  </si>
  <si>
    <t>현윤동</t>
  </si>
  <si>
    <t>웹 프론트엔드 개발자 / 미들급</t>
  </si>
  <si>
    <t>이준하</t>
  </si>
  <si>
    <t>React Native 개발자 / 시니어급</t>
  </si>
  <si>
    <t>이기범</t>
  </si>
  <si>
    <t>React Native 개발자 / 미들급</t>
  </si>
  <si>
    <t>최창기</t>
  </si>
  <si>
    <t>백엔드 개발자 / 시니어급</t>
  </si>
  <si>
    <t>조도흔</t>
  </si>
  <si>
    <t>백엔드 개발자 / 미들급</t>
  </si>
  <si>
    <t>투입 인원</t>
  </si>
  <si>
    <t>월 비용 총합</t>
  </si>
  <si>
    <t>2025 일본 공휴일</t>
  </si>
  <si>
    <t>신정</t>
  </si>
  <si>
    <t>성인의 날</t>
  </si>
  <si>
    <t>건국기념일</t>
  </si>
  <si>
    <t>천황 탄생일(주말)</t>
  </si>
  <si>
    <t>대체 공휴일(천황 탄생일)</t>
  </si>
  <si>
    <t>춘분의 날</t>
  </si>
  <si>
    <t>쇼와의 날/골든위크 시작</t>
  </si>
  <si>
    <t>골든위크</t>
  </si>
  <si>
    <t>헌법 기념일/골든위크</t>
  </si>
  <si>
    <t>녹색의 날(주말)/골든위크</t>
  </si>
  <si>
    <t>어린이날/골든위크</t>
  </si>
  <si>
    <t>대체 공휴일(녹색의 날)</t>
  </si>
  <si>
    <t>바다의 날</t>
  </si>
  <si>
    <t>산의 날</t>
  </si>
  <si>
    <t>오봉 시작</t>
  </si>
  <si>
    <t>오봉</t>
  </si>
  <si>
    <t>경로의 날</t>
  </si>
  <si>
    <t>추분의 날</t>
  </si>
  <si>
    <t>스포츠의 날</t>
  </si>
  <si>
    <t>문화의 날</t>
  </si>
  <si>
    <t>근로감사의 날(주말)</t>
  </si>
  <si>
    <t>대체 공휴일(근로감사의 날)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</si>
</sst>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&quot;-&quot;mm&quot;-&quot;dd"/>
    <numFmt numFmtId="165" formatCode="yyyy&quot;년 &quot;mmmm&quot; &quot;d&quot;일&quot;"/>
    <numFmt numFmtId="166" formatCode="yyyy. M. d"/>
    <numFmt numFmtId="167" formatCode="(견적일 기준 0일)"/>
    <numFmt numFmtId="168" formatCode="[$₩]#,##0"/>
    <numFmt numFmtId="169" formatCode="- [$₩]#,##0"/>
    <numFmt numFmtId="170" formatCode="0개월"/>
    <numFmt numFmtId="171" formatCode="[$₩-412]#,##0"/>
    <numFmt numFmtId="172" formatCode="0.0"/>
    <numFmt numFmtId="173" formatCode="[$¥]#,##0"/>
  </numFmts>
  <fonts count="25">
    <font>
      <sz val="10.0"/>
      <color rgb="FF000000"/>
      <name val="Arial"/>
      <scheme val="minor"/>
    </font>
    <font>
      <sz val="9.0"/>
      <color theme="1"/>
      <name val="Noto Sans KR"/>
    </font>
    <font>
      <b/>
      <sz val="8.0"/>
      <color theme="1"/>
      <name val="Noto Sans KR"/>
    </font>
    <font>
      <sz val="8.0"/>
      <color theme="1"/>
      <name val="Noto Sans KR"/>
    </font>
    <font/>
    <font>
      <b/>
      <sz val="9.0"/>
      <color theme="1"/>
      <name val="Noto Sans KR"/>
    </font>
    <font>
      <sz val="12.0"/>
      <color theme="1"/>
      <name val="Noto Sans KR"/>
    </font>
    <font>
      <sz val="11.0"/>
      <color theme="1"/>
      <name val="Noto Sans KR"/>
    </font>
    <font>
      <color theme="1"/>
      <name val="Arial"/>
    </font>
    <font>
      <b/>
      <sz val="10.0"/>
      <color theme="1"/>
      <name val="Noto Sans KR"/>
    </font>
    <font>
      <sz val="10.0"/>
      <color theme="1"/>
      <name val="Noto Sans KR"/>
    </font>
    <font>
      <b/>
      <sz val="9.0"/>
      <color rgb="FF000000"/>
      <name val="Noto Sans KR"/>
    </font>
    <font>
      <b/>
      <sz val="10.0"/>
      <color rgb="FFFFFFFF"/>
      <name val="Noto Sans KR"/>
    </font>
    <font>
      <b/>
      <sz val="10.0"/>
      <color rgb="FF000000"/>
      <name val="Noto Sans KR"/>
    </font>
    <font>
      <b/>
      <sz val="8.0"/>
      <color rgb="FFB3261E"/>
      <name val="Noto Sans KR"/>
    </font>
    <font>
      <sz val="8.0"/>
      <color rgb="FFB3261E"/>
      <name val="Noto Sans KR"/>
    </font>
    <font>
      <b/>
      <sz val="12.0"/>
      <color theme="1"/>
      <name val="Noto Sans KR"/>
    </font>
    <font>
      <b/>
      <sz val="8.0"/>
      <color rgb="FFFFFFFF"/>
      <name val="Noto Sans KR"/>
    </font>
    <font>
      <b/>
      <sz val="9.0"/>
      <color rgb="FFFFFFFF"/>
      <name val="Noto Sans KR"/>
    </font>
    <font>
      <sz val="9.0"/>
      <color rgb="FF000000"/>
      <name val="Noto Sans KR"/>
    </font>
    <font>
      <b/>
      <sz val="9.0"/>
      <color rgb="FF204DA3"/>
      <name val="Noto Sans KR"/>
    </font>
    <font>
      <sz val="8.0"/>
      <color rgb="FF666666"/>
      <name val="Noto Sans KR"/>
    </font>
    <font>
      <b/>
      <sz val="12.0"/>
      <color theme="1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</fills>
  <borders count="9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  <bottom style="thin">
        <color rgb="FFD9D9D9"/>
      </bottom>
    </border>
    <border>
      <right style="thin">
        <color rgb="FFD9D9D9"/>
      </right>
      <top style="medium">
        <color rgb="FF000000"/>
      </top>
      <bottom style="thin">
        <color rgb="FFD9D9D9"/>
      </bottom>
    </border>
    <border>
      <left style="thin">
        <color rgb="FFD9D9D9"/>
      </left>
      <top style="medium">
        <color rgb="FF000000"/>
      </top>
      <bottom style="thin">
        <color rgb="FFD9D9D9"/>
      </bottom>
    </border>
    <border>
      <right style="medium">
        <color rgb="FF000000"/>
      </right>
      <top style="medium">
        <color rgb="FF000000"/>
      </top>
      <bottom style="thin">
        <color rgb="FFD9D9D9"/>
      </bottom>
    </border>
    <border>
      <left style="medium">
        <color rgb="FF000000"/>
      </left>
    </border>
    <border>
      <right style="thin">
        <color rgb="FF000000"/>
      </right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medium">
        <color rgb="FF000000"/>
      </right>
      <top style="thin">
        <color rgb="FFD9D9D9"/>
      </top>
      <bottom style="thin">
        <color rgb="FFD9D9D9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thin">
        <color rgb="FFD9D9D9"/>
      </top>
      <bottom style="medium">
        <color rgb="FF000000"/>
      </bottom>
    </border>
    <border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medium">
        <color rgb="FF000000"/>
      </bottom>
    </border>
    <border>
      <right style="medium">
        <color rgb="FF000000"/>
      </right>
      <top style="thin">
        <color rgb="FFD9D9D9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D9D9D9"/>
      </right>
      <top style="medium">
        <color rgb="FF000000"/>
      </top>
      <bottom style="medium">
        <color rgb="FF000000"/>
      </bottom>
    </border>
    <border>
      <bottom style="thin">
        <color rgb="FFD9D9D9"/>
      </bottom>
    </border>
    <border>
      <right style="thin">
        <color rgb="FF000000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right style="medium">
        <color rgb="FF000000"/>
      </right>
      <bottom style="thin">
        <color rgb="FFD9D9D9"/>
      </bottom>
    </border>
    <border>
      <right style="thin">
        <color rgb="FFD9D9D9"/>
      </right>
    </border>
    <border>
      <right style="medium">
        <color rgb="FF000000"/>
      </right>
    </border>
    <border>
      <top style="thin">
        <color rgb="FF000000"/>
      </top>
      <bottom style="medium">
        <color rgb="FF000000"/>
      </bottom>
    </border>
    <border>
      <right style="thin">
        <color rgb="FFD9D9D9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666666"/>
      </right>
      <top style="medium">
        <color rgb="FF000000"/>
      </top>
      <bottom style="medium">
        <color rgb="FF000000"/>
      </bottom>
    </border>
    <border>
      <left style="thin">
        <color rgb="FF666666"/>
      </left>
      <top style="medium">
        <color rgb="FF000000"/>
      </top>
      <bottom style="medium">
        <color rgb="FF000000"/>
      </bottom>
    </border>
    <border>
      <left style="thin">
        <color rgb="FF666666"/>
      </left>
      <right style="thin">
        <color rgb="FF666666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000000"/>
      </right>
      <top style="thin">
        <color rgb="FFD9D9D9"/>
      </top>
    </border>
    <border>
      <left style="thin">
        <color rgb="FF000000"/>
      </left>
      <right style="thin">
        <color rgb="FF000000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9D9D9"/>
      </lef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B7B7B7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D9D9D9"/>
      </bottom>
    </border>
    <border>
      <right style="thin">
        <color rgb="FF000000"/>
      </right>
      <top style="medium">
        <color rgb="FF000000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D9D9D9"/>
      </bottom>
    </border>
    <border>
      <left style="medium">
        <color rgb="FF000000"/>
      </left>
      <top style="thin">
        <color rgb="FFD9D9D9"/>
      </top>
      <bottom style="thin">
        <color rgb="FFD9D9D9"/>
      </bottom>
    </border>
    <border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D9D9D9"/>
      </top>
      <bottom style="thin">
        <color rgb="FFD9D9D9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D9D9D9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top style="thin">
        <color rgb="FFD9D9D9"/>
      </top>
    </border>
    <border>
      <right style="medium">
        <color rgb="FF000000"/>
      </right>
      <top style="thin">
        <color rgb="FFD9D9D9"/>
      </top>
    </border>
    <border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D9D9D9"/>
      </right>
      <top style="medium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D9D9D9"/>
      </left>
      <right style="thin">
        <color rgb="FFD9D9D9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0" fontId="2" numFmtId="0" xfId="0" applyAlignment="1" applyBorder="1" applyFont="1">
      <alignment readingOrder="0" vertical="top"/>
    </xf>
    <xf borderId="3" fillId="0" fontId="2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vertical="center"/>
    </xf>
    <xf borderId="5" fillId="0" fontId="4" numFmtId="0" xfId="0" applyBorder="1" applyFont="1"/>
    <xf borderId="6" fillId="0" fontId="3" numFmtId="0" xfId="0" applyAlignment="1" applyBorder="1" applyFont="1">
      <alignment readingOrder="0" vertical="center"/>
    </xf>
    <xf borderId="4" fillId="0" fontId="4" numFmtId="0" xfId="0" applyBorder="1" applyFont="1"/>
    <xf borderId="7" fillId="0" fontId="4" numFmtId="0" xfId="0" applyBorder="1" applyFont="1"/>
    <xf borderId="8" fillId="0" fontId="1" numFmtId="0" xfId="0" applyAlignment="1" applyBorder="1" applyFont="1">
      <alignment vertical="center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vertical="center"/>
    </xf>
    <xf borderId="9" fillId="0" fontId="2" numFmtId="0" xfId="0" applyAlignment="1" applyBorder="1" applyFont="1">
      <alignment readingOrder="0" vertical="top"/>
    </xf>
    <xf borderId="10" fillId="0" fontId="3" numFmtId="0" xfId="0" applyAlignment="1" applyBorder="1" applyFont="1">
      <alignment readingOrder="0" vertical="center"/>
    </xf>
    <xf borderId="11" fillId="0" fontId="4" numFmtId="0" xfId="0" applyBorder="1" applyFont="1"/>
    <xf borderId="12" fillId="0" fontId="3" numFmtId="0" xfId="0" applyAlignment="1" applyBorder="1" applyFont="1">
      <alignment horizontal="left" readingOrder="0" vertical="center"/>
    </xf>
    <xf borderId="10" fillId="0" fontId="4" numFmtId="0" xfId="0" applyBorder="1" applyFont="1"/>
    <xf borderId="13" fillId="0" fontId="4" numFmtId="0" xfId="0" applyBorder="1" applyFont="1"/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top"/>
    </xf>
    <xf borderId="9" fillId="0" fontId="4" numFmtId="0" xfId="0" applyBorder="1" applyFont="1"/>
    <xf borderId="12" fillId="0" fontId="3" numFmtId="0" xfId="0" applyAlignment="1" applyBorder="1" applyFont="1">
      <alignment readingOrder="0" vertical="center"/>
    </xf>
    <xf borderId="0" fillId="0" fontId="7" numFmtId="0" xfId="0" applyAlignment="1" applyFont="1">
      <alignment readingOrder="0" vertical="top"/>
    </xf>
    <xf borderId="10" fillId="2" fontId="8" numFmtId="0" xfId="0" applyAlignment="1" applyBorder="1" applyFill="1" applyFont="1">
      <alignment vertical="center"/>
    </xf>
    <xf borderId="0" fillId="0" fontId="9" numFmtId="0" xfId="0" applyAlignment="1" applyFont="1">
      <alignment readingOrder="0" vertical="center"/>
    </xf>
    <xf borderId="0" fillId="0" fontId="10" numFmtId="164" xfId="0" applyAlignment="1" applyFont="1" applyNumberFormat="1">
      <alignment horizontal="right" vertical="center"/>
    </xf>
    <xf borderId="0" fillId="0" fontId="10" numFmtId="165" xfId="0" applyAlignment="1" applyFont="1" applyNumberFormat="1">
      <alignment horizontal="left" readingOrder="0" vertical="center"/>
    </xf>
    <xf borderId="0" fillId="0" fontId="10" numFmtId="166" xfId="0" applyAlignment="1" applyFont="1" applyNumberFormat="1">
      <alignment horizontal="left" readingOrder="0" vertical="center"/>
    </xf>
    <xf borderId="0" fillId="0" fontId="1" numFmtId="166" xfId="0" applyAlignment="1" applyFont="1" applyNumberFormat="1">
      <alignment horizontal="left" readingOrder="0" vertical="bottom"/>
    </xf>
    <xf borderId="9" fillId="0" fontId="11" numFmtId="0" xfId="0" applyAlignment="1" applyBorder="1" applyFont="1">
      <alignment horizontal="center" readingOrder="0" textRotation="90" vertical="center"/>
    </xf>
    <xf borderId="0" fillId="0" fontId="10" numFmtId="167" xfId="0" applyAlignment="1" applyFont="1" applyNumberFormat="1">
      <alignment horizontal="left" readingOrder="0" vertical="center"/>
    </xf>
    <xf borderId="0" fillId="0" fontId="1" numFmtId="166" xfId="0" applyAlignment="1" applyFont="1" applyNumberFormat="1">
      <alignment horizontal="left" readingOrder="0" vertical="center"/>
    </xf>
    <xf borderId="14" fillId="0" fontId="1" numFmtId="0" xfId="0" applyAlignment="1" applyBorder="1" applyFont="1">
      <alignment vertical="center"/>
    </xf>
    <xf borderId="15" fillId="0" fontId="4" numFmtId="0" xfId="0" applyBorder="1" applyFont="1"/>
    <xf borderId="15" fillId="0" fontId="11" numFmtId="0" xfId="0" applyAlignment="1" applyBorder="1" applyFont="1">
      <alignment horizontal="center" readingOrder="0" textRotation="90" vertical="center"/>
    </xf>
    <xf borderId="16" fillId="0" fontId="11" numFmtId="0" xfId="0" applyAlignment="1" applyBorder="1" applyFont="1">
      <alignment horizontal="center" readingOrder="0" textRotation="90" vertical="center"/>
    </xf>
    <xf borderId="17" fillId="0" fontId="3" numFmtId="0" xfId="0" applyAlignment="1" applyBorder="1" applyFont="1">
      <alignment readingOrder="0" vertical="center"/>
    </xf>
    <xf borderId="18" fillId="0" fontId="4" numFmtId="0" xfId="0" applyBorder="1" applyFont="1"/>
    <xf borderId="19" fillId="0" fontId="3" numFmtId="0" xfId="0" applyAlignment="1" applyBorder="1" applyFont="1">
      <alignment readingOrder="0" vertical="center"/>
    </xf>
    <xf borderId="17" fillId="0" fontId="4" numFmtId="0" xfId="0" applyBorder="1" applyFont="1"/>
    <xf borderId="20" fillId="0" fontId="4" numFmtId="0" xfId="0" applyBorder="1" applyFont="1"/>
    <xf borderId="21" fillId="3" fontId="12" numFmtId="0" xfId="0" applyAlignment="1" applyBorder="1" applyFill="1" applyFont="1">
      <alignment horizontal="center" readingOrder="0" vertical="center"/>
    </xf>
    <xf borderId="22" fillId="0" fontId="4" numFmtId="0" xfId="0" applyBorder="1" applyFont="1"/>
    <xf borderId="23" fillId="0" fontId="4" numFmtId="0" xfId="0" applyBorder="1" applyFont="1"/>
    <xf borderId="22" fillId="0" fontId="13" numFmtId="168" xfId="0" applyAlignment="1" applyBorder="1" applyFont="1" applyNumberFormat="1">
      <alignment horizontal="right" readingOrder="0" vertical="center"/>
    </xf>
    <xf borderId="24" fillId="0" fontId="4" numFmtId="0" xfId="0" applyBorder="1" applyFont="1"/>
    <xf borderId="0" fillId="0" fontId="3" numFmtId="0" xfId="0" applyAlignment="1" applyFont="1">
      <alignment horizontal="center" readingOrder="0" vertical="center"/>
    </xf>
    <xf borderId="9" fillId="0" fontId="3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left" readingOrder="0" vertical="center"/>
    </xf>
    <xf borderId="25" fillId="0" fontId="4" numFmtId="0" xfId="0" applyBorder="1" applyFont="1"/>
    <xf borderId="26" fillId="0" fontId="4" numFmtId="0" xfId="0" applyBorder="1" applyFont="1"/>
    <xf borderId="25" fillId="0" fontId="3" numFmtId="168" xfId="0" applyAlignment="1" applyBorder="1" applyFont="1" applyNumberFormat="1">
      <alignment horizontal="right" readingOrder="0" vertical="center"/>
    </xf>
    <xf borderId="27" fillId="0" fontId="4" numFmtId="0" xfId="0" applyBorder="1" applyFont="1"/>
    <xf borderId="28" fillId="0" fontId="4" numFmtId="0" xfId="0" applyBorder="1" applyFont="1"/>
    <xf borderId="25" fillId="0" fontId="3" numFmtId="10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29" fillId="0" fontId="4" numFmtId="0" xfId="0" applyBorder="1" applyFont="1"/>
    <xf borderId="0" fillId="0" fontId="3" numFmtId="10" xfId="0" applyAlignment="1" applyFont="1" applyNumberFormat="1">
      <alignment horizontal="center" readingOrder="0" vertical="center"/>
    </xf>
    <xf borderId="0" fillId="0" fontId="3" numFmtId="168" xfId="0" applyAlignment="1" applyFont="1" applyNumberFormat="1">
      <alignment horizontal="right" readingOrder="0" vertical="center"/>
    </xf>
    <xf borderId="30" fillId="0" fontId="4" numFmtId="0" xfId="0" applyBorder="1" applyFont="1"/>
    <xf borderId="31" fillId="0" fontId="14" numFmtId="0" xfId="0" applyAlignment="1" applyBorder="1" applyFont="1">
      <alignment horizontal="left" readingOrder="0" vertical="center"/>
    </xf>
    <xf borderId="31" fillId="0" fontId="4" numFmtId="0" xfId="0" applyBorder="1" applyFont="1"/>
    <xf borderId="32" fillId="0" fontId="4" numFmtId="0" xfId="0" applyBorder="1" applyFont="1"/>
    <xf borderId="31" fillId="0" fontId="3" numFmtId="0" xfId="0" applyAlignment="1" applyBorder="1" applyFont="1">
      <alignment horizontal="center" readingOrder="0" vertical="center"/>
    </xf>
    <xf borderId="33" fillId="0" fontId="4" numFmtId="0" xfId="0" applyBorder="1" applyFont="1"/>
    <xf borderId="31" fillId="0" fontId="15" numFmtId="169" xfId="0" applyAlignment="1" applyBorder="1" applyFont="1" applyNumberFormat="1">
      <alignment horizontal="right" readingOrder="0" vertical="center"/>
    </xf>
    <xf borderId="34" fillId="0" fontId="4" numFmtId="0" xfId="0" applyBorder="1" applyFont="1"/>
    <xf borderId="21" fillId="3" fontId="12" numFmtId="0" xfId="0" applyAlignment="1" applyBorder="1" applyFont="1">
      <alignment horizontal="left" readingOrder="0" vertical="center"/>
    </xf>
    <xf borderId="35" fillId="2" fontId="1" numFmtId="0" xfId="0" applyAlignment="1" applyBorder="1" applyFont="1">
      <alignment horizontal="center" readingOrder="0" vertical="center"/>
    </xf>
    <xf borderId="22" fillId="0" fontId="1" numFmtId="170" xfId="0" applyAlignment="1" applyBorder="1" applyFont="1" applyNumberFormat="1">
      <alignment horizontal="center" readingOrder="0" vertical="center"/>
    </xf>
    <xf borderId="22" fillId="0" fontId="1" numFmtId="0" xfId="0" applyAlignment="1" applyBorder="1" applyFont="1">
      <alignment horizontal="center" readingOrder="0" vertical="center"/>
    </xf>
    <xf borderId="22" fillId="0" fontId="3" numFmtId="0" xfId="0" applyAlignment="1" applyBorder="1" applyFont="1">
      <alignment horizontal="center" readingOrder="0" vertical="center"/>
    </xf>
    <xf borderId="23" fillId="0" fontId="3" numFmtId="0" xfId="0" applyAlignment="1" applyBorder="1" applyFont="1">
      <alignment horizontal="center" readingOrder="0" vertical="center"/>
    </xf>
    <xf borderId="2" fillId="4" fontId="16" numFmtId="0" xfId="0" applyAlignment="1" applyBorder="1" applyFill="1" applyFont="1">
      <alignment horizontal="left" readingOrder="0" vertical="center"/>
    </xf>
    <xf borderId="2" fillId="0" fontId="4" numFmtId="0" xfId="0" applyBorder="1" applyFont="1"/>
    <xf borderId="0" fillId="4" fontId="9" numFmtId="0" xfId="0" applyAlignment="1" applyFont="1">
      <alignment horizontal="left" readingOrder="0" vertical="center"/>
    </xf>
    <xf borderId="21" fillId="5" fontId="17" numFmtId="0" xfId="0" applyAlignment="1" applyBorder="1" applyFill="1" applyFont="1">
      <alignment horizontal="center" readingOrder="0" vertical="center"/>
    </xf>
    <xf borderId="36" fillId="0" fontId="4" numFmtId="0" xfId="0" applyBorder="1" applyFont="1"/>
    <xf borderId="37" fillId="5" fontId="17" numFmtId="0" xfId="0" applyAlignment="1" applyBorder="1" applyFont="1">
      <alignment horizontal="center" readingOrder="0" vertical="center"/>
    </xf>
    <xf borderId="38" fillId="5" fontId="17" numFmtId="0" xfId="0" applyAlignment="1" applyBorder="1" applyFont="1">
      <alignment horizontal="center" readingOrder="0" vertical="center"/>
    </xf>
    <xf borderId="36" fillId="5" fontId="17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171" xfId="0" applyAlignment="1" applyFont="1" applyNumberFormat="1">
      <alignment horizontal="right" vertical="center"/>
    </xf>
    <xf borderId="30" fillId="0" fontId="8" numFmtId="0" xfId="0" applyAlignment="1" applyBorder="1" applyFont="1">
      <alignment vertical="center"/>
    </xf>
    <xf borderId="21" fillId="5" fontId="18" numFmtId="0" xfId="0" applyAlignment="1" applyBorder="1" applyFont="1">
      <alignment horizontal="center" readingOrder="0" vertical="center"/>
    </xf>
    <xf borderId="37" fillId="5" fontId="18" numFmtId="168" xfId="0" applyAlignment="1" applyBorder="1" applyFont="1" applyNumberFormat="1">
      <alignment horizontal="right" vertical="center"/>
    </xf>
    <xf borderId="39" fillId="0" fontId="1" numFmtId="0" xfId="0" applyAlignment="1" applyBorder="1" applyFont="1">
      <alignment horizontal="center" readingOrder="0" vertical="center"/>
    </xf>
    <xf borderId="40" fillId="0" fontId="5" numFmtId="0" xfId="0" applyAlignment="1" applyBorder="1" applyFont="1">
      <alignment horizontal="center" readingOrder="0" vertical="center"/>
    </xf>
    <xf borderId="41" fillId="0" fontId="1" numFmtId="0" xfId="0" applyAlignment="1" applyBorder="1" applyFont="1">
      <alignment horizontal="center" readingOrder="0" vertical="center"/>
    </xf>
    <xf borderId="42" fillId="0" fontId="1" numFmtId="164" xfId="0" applyAlignment="1" applyBorder="1" applyFont="1" applyNumberFormat="1">
      <alignment horizontal="center" readingOrder="0" vertical="center"/>
    </xf>
    <xf borderId="43" fillId="0" fontId="1" numFmtId="164" xfId="0" applyAlignment="1" applyBorder="1" applyFont="1" applyNumberFormat="1">
      <alignment horizontal="center" readingOrder="0" vertical="center"/>
    </xf>
    <xf borderId="10" fillId="0" fontId="1" numFmtId="168" xfId="0" applyAlignment="1" applyBorder="1" applyFont="1" applyNumberFormat="1">
      <alignment horizontal="center" readingOrder="0" vertical="center"/>
    </xf>
    <xf borderId="44" fillId="0" fontId="1" numFmtId="172" xfId="0" applyAlignment="1" applyBorder="1" applyFont="1" applyNumberFormat="1">
      <alignment horizontal="center" readingOrder="0" vertical="center"/>
    </xf>
    <xf borderId="25" fillId="0" fontId="1" numFmtId="168" xfId="0" applyAlignment="1" applyBorder="1" applyFont="1" applyNumberFormat="1">
      <alignment horizontal="right" readingOrder="0" vertical="center"/>
    </xf>
    <xf borderId="45" fillId="0" fontId="1" numFmtId="168" xfId="0" applyAlignment="1" applyBorder="1" applyFont="1" applyNumberFormat="1">
      <alignment horizontal="right" readingOrder="0" vertical="center"/>
    </xf>
    <xf borderId="0" fillId="0" fontId="1" numFmtId="0" xfId="0" applyAlignment="1" applyFont="1">
      <alignment readingOrder="0" vertical="center"/>
    </xf>
    <xf borderId="46" fillId="0" fontId="4" numFmtId="0" xfId="0" applyBorder="1" applyFont="1"/>
    <xf borderId="47" fillId="0" fontId="1" numFmtId="0" xfId="0" applyAlignment="1" applyBorder="1" applyFont="1">
      <alignment horizontal="center" readingOrder="0" vertical="center"/>
    </xf>
    <xf borderId="48" fillId="0" fontId="4" numFmtId="0" xfId="0" applyBorder="1" applyFont="1"/>
    <xf borderId="49" fillId="0" fontId="4" numFmtId="0" xfId="0" applyBorder="1" applyFont="1"/>
    <xf borderId="50" fillId="0" fontId="4" numFmtId="0" xfId="0" applyBorder="1" applyFont="1"/>
    <xf borderId="0" fillId="0" fontId="1" numFmtId="168" xfId="0" applyAlignment="1" applyFont="1" applyNumberFormat="1">
      <alignment horizontal="right" readingOrder="0" vertical="center"/>
    </xf>
    <xf borderId="51" fillId="0" fontId="1" numFmtId="168" xfId="0" applyAlignment="1" applyBorder="1" applyFont="1" applyNumberFormat="1">
      <alignment horizontal="right" readingOrder="0" vertical="center"/>
    </xf>
    <xf borderId="52" fillId="0" fontId="1" numFmtId="0" xfId="0" applyAlignment="1" applyBorder="1" applyFont="1">
      <alignment horizontal="center" vertical="center"/>
    </xf>
    <xf borderId="53" fillId="6" fontId="1" numFmtId="0" xfId="0" applyAlignment="1" applyBorder="1" applyFill="1" applyFont="1">
      <alignment horizontal="center" readingOrder="0" vertical="center"/>
    </xf>
    <xf borderId="54" fillId="0" fontId="4" numFmtId="0" xfId="0" applyBorder="1" applyFont="1"/>
    <xf borderId="55" fillId="2" fontId="19" numFmtId="172" xfId="0" applyAlignment="1" applyBorder="1" applyFont="1" applyNumberFormat="1">
      <alignment horizontal="center" readingOrder="0" vertical="center"/>
    </xf>
    <xf borderId="31" fillId="2" fontId="20" numFmtId="168" xfId="0" applyAlignment="1" applyBorder="1" applyFont="1" applyNumberFormat="1">
      <alignment horizontal="right" readingOrder="0" vertical="center"/>
    </xf>
    <xf borderId="0" fillId="0" fontId="8" numFmtId="173" xfId="0" applyAlignment="1" applyFont="1" applyNumberFormat="1">
      <alignment vertical="center"/>
    </xf>
    <xf borderId="56" fillId="0" fontId="1" numFmtId="0" xfId="0" applyAlignment="1" applyBorder="1" applyFont="1">
      <alignment horizontal="center" readingOrder="0" vertical="center"/>
    </xf>
    <xf borderId="57" fillId="0" fontId="4" numFmtId="0" xfId="0" applyBorder="1" applyFont="1"/>
    <xf borderId="58" fillId="0" fontId="5" numFmtId="0" xfId="0" applyAlignment="1" applyBorder="1" applyFont="1">
      <alignment horizontal="center" readingOrder="0" vertical="center"/>
    </xf>
    <xf borderId="41" fillId="0" fontId="1" numFmtId="0" xfId="0" applyAlignment="1" applyBorder="1" applyFont="1">
      <alignment horizontal="left" readingOrder="0" vertical="center"/>
    </xf>
    <xf borderId="59" fillId="0" fontId="1" numFmtId="164" xfId="0" applyAlignment="1" applyBorder="1" applyFont="1" applyNumberFormat="1">
      <alignment horizontal="center" readingOrder="0" vertical="center"/>
    </xf>
    <xf borderId="60" fillId="0" fontId="1" numFmtId="164" xfId="0" applyAlignment="1" applyBorder="1" applyFont="1" applyNumberFormat="1">
      <alignment horizontal="center" readingOrder="0" vertical="center"/>
    </xf>
    <xf borderId="25" fillId="0" fontId="1" numFmtId="168" xfId="0" applyAlignment="1" applyBorder="1" applyFont="1" applyNumberFormat="1">
      <alignment horizontal="center" readingOrder="0" vertical="center"/>
    </xf>
    <xf borderId="61" fillId="0" fontId="1" numFmtId="172" xfId="0" applyAlignment="1" applyBorder="1" applyFont="1" applyNumberFormat="1">
      <alignment horizontal="center" readingOrder="0" vertical="center"/>
    </xf>
    <xf borderId="6" fillId="0" fontId="1" numFmtId="168" xfId="0" applyAlignment="1" applyBorder="1" applyFont="1" applyNumberFormat="1">
      <alignment horizontal="right" readingOrder="0" vertical="center"/>
    </xf>
    <xf borderId="44" fillId="0" fontId="5" numFmtId="0" xfId="0" applyAlignment="1" applyBorder="1" applyFont="1">
      <alignment horizontal="center" readingOrder="0" vertical="center"/>
    </xf>
    <xf borderId="62" fillId="0" fontId="1" numFmtId="0" xfId="0" applyAlignment="1" applyBorder="1" applyFont="1">
      <alignment horizontal="center" vertical="center"/>
    </xf>
    <xf borderId="63" fillId="0" fontId="4" numFmtId="0" xfId="0" applyBorder="1" applyFont="1"/>
    <xf borderId="64" fillId="0" fontId="5" numFmtId="0" xfId="0" applyAlignment="1" applyBorder="1" applyFont="1">
      <alignment horizontal="center" readingOrder="0" vertical="center"/>
    </xf>
    <xf borderId="27" fillId="0" fontId="1" numFmtId="164" xfId="0" applyAlignment="1" applyBorder="1" applyFont="1" applyNumberFormat="1">
      <alignment horizontal="center" vertical="center"/>
    </xf>
    <xf borderId="64" fillId="0" fontId="1" numFmtId="172" xfId="0" applyAlignment="1" applyBorder="1" applyFont="1" applyNumberFormat="1">
      <alignment horizontal="center" readingOrder="0" vertical="center"/>
    </xf>
    <xf borderId="12" fillId="0" fontId="1" numFmtId="168" xfId="0" applyAlignment="1" applyBorder="1" applyFont="1" applyNumberFormat="1">
      <alignment horizontal="right" readingOrder="0" vertical="center"/>
    </xf>
    <xf borderId="65" fillId="0" fontId="1" numFmtId="0" xfId="0" applyAlignment="1" applyBorder="1" applyFont="1">
      <alignment horizontal="left" readingOrder="0" vertical="center"/>
    </xf>
    <xf borderId="12" fillId="0" fontId="1" numFmtId="168" xfId="0" applyAlignment="1" applyBorder="1" applyFont="1" applyNumberFormat="1">
      <alignment horizontal="right" vertical="center"/>
    </xf>
    <xf borderId="10" fillId="0" fontId="1" numFmtId="0" xfId="0" applyAlignment="1" applyBorder="1" applyFont="1">
      <alignment horizontal="left" readingOrder="0" vertical="center"/>
    </xf>
    <xf borderId="46" fillId="0" fontId="5" numFmtId="0" xfId="0" applyAlignment="1" applyBorder="1" applyFont="1">
      <alignment horizontal="center" readingOrder="0" vertical="center"/>
    </xf>
    <xf borderId="53" fillId="6" fontId="19" numFmtId="0" xfId="0" applyAlignment="1" applyBorder="1" applyFont="1">
      <alignment horizontal="center" readingOrder="0" vertical="center"/>
    </xf>
    <xf borderId="33" fillId="2" fontId="19" numFmtId="172" xfId="0" applyAlignment="1" applyBorder="1" applyFont="1" applyNumberFormat="1">
      <alignment horizontal="center" readingOrder="0" vertical="center"/>
    </xf>
    <xf borderId="0" fillId="0" fontId="8" numFmtId="0" xfId="0" applyFont="1"/>
    <xf borderId="0" fillId="0" fontId="8" numFmtId="0" xfId="0" applyFont="1"/>
    <xf borderId="66" fillId="0" fontId="8" numFmtId="0" xfId="0" applyAlignment="1" applyBorder="1" applyFont="1">
      <alignment vertical="center"/>
    </xf>
    <xf borderId="67" fillId="0" fontId="4" numFmtId="0" xfId="0" applyBorder="1" applyFont="1"/>
    <xf borderId="68" fillId="6" fontId="1" numFmtId="0" xfId="0" applyAlignment="1" applyBorder="1" applyFont="1">
      <alignment horizontal="center" vertical="center"/>
    </xf>
    <xf borderId="69" fillId="0" fontId="4" numFmtId="0" xfId="0" applyBorder="1" applyFont="1"/>
    <xf borderId="67" fillId="2" fontId="1" numFmtId="172" xfId="0" applyAlignment="1" applyBorder="1" applyFont="1" applyNumberFormat="1">
      <alignment horizontal="center" vertical="center"/>
    </xf>
    <xf borderId="69" fillId="2" fontId="20" numFmtId="168" xfId="0" applyAlignment="1" applyBorder="1" applyFont="1" applyNumberFormat="1">
      <alignment horizontal="right" vertical="center"/>
    </xf>
    <xf borderId="70" fillId="0" fontId="4" numFmtId="0" xfId="0" applyBorder="1" applyFont="1"/>
    <xf borderId="69" fillId="2" fontId="20" numFmtId="168" xfId="0" applyAlignment="1" applyBorder="1" applyFont="1" applyNumberFormat="1">
      <alignment horizontal="right" readingOrder="0" vertical="center"/>
    </xf>
    <xf borderId="71" fillId="0" fontId="4" numFmtId="0" xfId="0" applyBorder="1" applyFont="1"/>
    <xf borderId="0" fillId="0" fontId="8" numFmtId="0" xfId="0" applyAlignment="1" applyFont="1">
      <alignment vertical="center"/>
    </xf>
    <xf borderId="2" fillId="4" fontId="3" numFmtId="0" xfId="0" applyAlignment="1" applyBorder="1" applyFont="1">
      <alignment horizontal="left" readingOrder="0" vertical="top"/>
    </xf>
    <xf borderId="0" fillId="0" fontId="1" numFmtId="0" xfId="0" applyAlignment="1" applyFont="1">
      <alignment vertical="top"/>
    </xf>
    <xf borderId="0" fillId="0" fontId="16" numFmtId="0" xfId="0" applyAlignment="1" applyFont="1">
      <alignment readingOrder="0" vertical="top"/>
    </xf>
    <xf borderId="0" fillId="4" fontId="1" numFmtId="0" xfId="0" applyAlignment="1" applyFont="1">
      <alignment horizontal="left" readingOrder="0" vertical="top"/>
    </xf>
    <xf borderId="0" fillId="4" fontId="3" numFmtId="0" xfId="0" applyAlignment="1" applyFont="1">
      <alignment horizontal="left" readingOrder="0" vertical="center"/>
    </xf>
    <xf borderId="48" fillId="0" fontId="1" numFmtId="0" xfId="0" applyAlignment="1" applyBorder="1" applyFont="1">
      <alignment vertical="center"/>
    </xf>
    <xf borderId="48" fillId="0" fontId="21" numFmtId="0" xfId="0" applyAlignment="1" applyBorder="1" applyFont="1">
      <alignment readingOrder="0" vertical="center"/>
    </xf>
    <xf borderId="0" fillId="0" fontId="21" numFmtId="0" xfId="0" applyAlignment="1" applyFont="1">
      <alignment readingOrder="0" vertical="center"/>
    </xf>
    <xf borderId="12" fillId="0" fontId="1" numFmtId="164" xfId="0" applyAlignment="1" applyBorder="1" applyFont="1" applyNumberFormat="1">
      <alignment horizontal="center" readingOrder="0" vertical="center"/>
    </xf>
    <xf borderId="41" fillId="0" fontId="1" numFmtId="168" xfId="0" applyAlignment="1" applyBorder="1" applyFont="1" applyNumberFormat="1">
      <alignment horizontal="center" readingOrder="0" vertical="center"/>
    </xf>
    <xf borderId="10" fillId="0" fontId="1" numFmtId="168" xfId="0" applyAlignment="1" applyBorder="1" applyFont="1" applyNumberFormat="1">
      <alignment horizontal="right" readingOrder="0" vertical="center"/>
    </xf>
    <xf borderId="48" fillId="0" fontId="1" numFmtId="0" xfId="0" applyAlignment="1" applyBorder="1" applyFont="1">
      <alignment readingOrder="0" vertical="center"/>
    </xf>
    <xf borderId="72" fillId="0" fontId="1" numFmtId="168" xfId="0" applyAlignment="1" applyBorder="1" applyFont="1" applyNumberFormat="1">
      <alignment horizontal="right" readingOrder="0" vertical="center"/>
    </xf>
    <xf borderId="73" fillId="0" fontId="4" numFmtId="0" xfId="0" applyBorder="1" applyFont="1"/>
    <xf borderId="2" fillId="4" fontId="16" numFmtId="0" xfId="0" applyAlignment="1" applyBorder="1" applyFont="1">
      <alignment horizontal="left" readingOrder="0" vertical="bottom"/>
    </xf>
    <xf borderId="68" fillId="5" fontId="17" numFmtId="0" xfId="0" applyAlignment="1" applyBorder="1" applyFont="1">
      <alignment horizontal="center" readingOrder="0" vertical="center"/>
    </xf>
    <xf borderId="74" fillId="0" fontId="4" numFmtId="0" xfId="0" applyBorder="1" applyFont="1"/>
    <xf borderId="75" fillId="5" fontId="17" numFmtId="0" xfId="0" applyAlignment="1" applyBorder="1" applyFont="1">
      <alignment horizontal="center" readingOrder="0" vertical="center"/>
    </xf>
    <xf borderId="76" fillId="5" fontId="17" numFmtId="0" xfId="0" applyAlignment="1" applyBorder="1" applyFont="1">
      <alignment horizontal="center" readingOrder="0" vertical="center"/>
    </xf>
    <xf borderId="77" fillId="0" fontId="3" numFmtId="0" xfId="0" applyAlignment="1" applyBorder="1" applyFont="1">
      <alignment horizontal="center" readingOrder="0" vertical="center"/>
    </xf>
    <xf borderId="78" fillId="0" fontId="4" numFmtId="0" xfId="0" applyBorder="1" applyFont="1"/>
    <xf borderId="78" fillId="0" fontId="2" numFmtId="0" xfId="0" applyAlignment="1" applyBorder="1" applyFont="1">
      <alignment horizontal="center" readingOrder="0" vertical="center"/>
    </xf>
    <xf borderId="79" fillId="0" fontId="3" numFmtId="0" xfId="0" applyAlignment="1" applyBorder="1" applyFont="1">
      <alignment horizontal="center" readingOrder="0" vertical="center"/>
    </xf>
    <xf borderId="80" fillId="0" fontId="3" numFmtId="1" xfId="0" applyAlignment="1" applyBorder="1" applyFont="1" applyNumberFormat="1">
      <alignment horizontal="center" readingOrder="0" vertical="center"/>
    </xf>
    <xf borderId="81" fillId="0" fontId="3" numFmtId="168" xfId="0" applyAlignment="1" applyBorder="1" applyFont="1" applyNumberFormat="1">
      <alignment horizontal="right" readingOrder="0" vertical="center"/>
    </xf>
    <xf borderId="82" fillId="0" fontId="3" numFmtId="168" xfId="0" applyAlignment="1" applyBorder="1" applyFont="1" applyNumberFormat="1">
      <alignment horizontal="right" readingOrder="0" vertical="center"/>
    </xf>
    <xf borderId="80" fillId="0" fontId="3" numFmtId="168" xfId="0" applyAlignment="1" applyBorder="1" applyFont="1" applyNumberFormat="1">
      <alignment horizontal="right" readingOrder="0" vertical="center"/>
    </xf>
    <xf borderId="78" fillId="0" fontId="3" numFmtId="168" xfId="0" applyAlignment="1" applyBorder="1" applyFont="1" applyNumberFormat="1">
      <alignment horizontal="right" readingOrder="0" vertical="center"/>
    </xf>
    <xf borderId="83" fillId="0" fontId="3" numFmtId="173" xfId="0" applyAlignment="1" applyBorder="1" applyFont="1" applyNumberFormat="1">
      <alignment horizontal="right" readingOrder="0" vertical="center"/>
    </xf>
    <xf borderId="66" fillId="0" fontId="3" numFmtId="0" xfId="0" applyAlignment="1" applyBorder="1" applyFont="1">
      <alignment horizontal="center" readingOrder="0" vertical="center"/>
    </xf>
    <xf borderId="67" fillId="0" fontId="2" numFmtId="0" xfId="0" applyAlignment="1" applyBorder="1" applyFont="1">
      <alignment horizontal="center" readingOrder="0" vertical="center"/>
    </xf>
    <xf borderId="69" fillId="0" fontId="3" numFmtId="0" xfId="0" applyAlignment="1" applyBorder="1" applyFont="1">
      <alignment horizontal="center" readingOrder="0" vertical="center"/>
    </xf>
    <xf borderId="84" fillId="0" fontId="3" numFmtId="1" xfId="0" applyAlignment="1" applyBorder="1" applyFont="1" applyNumberFormat="1">
      <alignment horizontal="center" readingOrder="0" vertical="center"/>
    </xf>
    <xf borderId="70" fillId="0" fontId="3" numFmtId="168" xfId="0" applyAlignment="1" applyBorder="1" applyFont="1" applyNumberFormat="1">
      <alignment horizontal="right" readingOrder="0" vertical="center"/>
    </xf>
    <xf borderId="85" fillId="0" fontId="3" numFmtId="168" xfId="0" applyAlignment="1" applyBorder="1" applyFont="1" applyNumberFormat="1">
      <alignment horizontal="right" readingOrder="0" vertical="center"/>
    </xf>
    <xf borderId="84" fillId="0" fontId="3" numFmtId="168" xfId="0" applyAlignment="1" applyBorder="1" applyFont="1" applyNumberFormat="1">
      <alignment horizontal="right" readingOrder="0" vertical="center"/>
    </xf>
    <xf borderId="67" fillId="0" fontId="3" numFmtId="168" xfId="0" applyAlignment="1" applyBorder="1" applyFont="1" applyNumberFormat="1">
      <alignment horizontal="right" readingOrder="0" vertical="center"/>
    </xf>
    <xf borderId="71" fillId="0" fontId="3" numFmtId="173" xfId="0" applyAlignment="1" applyBorder="1" applyFont="1" applyNumberFormat="1">
      <alignment horizontal="right" readingOrder="0" vertical="center"/>
    </xf>
    <xf borderId="52" fillId="0" fontId="3" numFmtId="0" xfId="0" applyAlignment="1" applyBorder="1" applyFont="1">
      <alignment horizontal="center" readingOrder="0" vertical="center"/>
    </xf>
    <xf borderId="33" fillId="0" fontId="2" numFmtId="0" xfId="0" applyAlignment="1" applyBorder="1" applyFont="1">
      <alignment horizontal="center" readingOrder="0" vertical="center"/>
    </xf>
    <xf borderId="86" fillId="0" fontId="3" numFmtId="1" xfId="0" applyAlignment="1" applyBorder="1" applyFont="1" applyNumberFormat="1">
      <alignment horizontal="center" readingOrder="0" vertical="center"/>
    </xf>
    <xf borderId="32" fillId="0" fontId="3" numFmtId="168" xfId="0" applyAlignment="1" applyBorder="1" applyFont="1" applyNumberFormat="1">
      <alignment horizontal="right" readingOrder="0" vertical="center"/>
    </xf>
    <xf borderId="87" fillId="0" fontId="3" numFmtId="168" xfId="0" applyAlignment="1" applyBorder="1" applyFont="1" applyNumberFormat="1">
      <alignment horizontal="right" readingOrder="0" vertical="center"/>
    </xf>
    <xf borderId="86" fillId="0" fontId="3" numFmtId="168" xfId="0" applyAlignment="1" applyBorder="1" applyFont="1" applyNumberFormat="1">
      <alignment horizontal="right" readingOrder="0" vertical="center"/>
    </xf>
    <xf borderId="33" fillId="0" fontId="3" numFmtId="168" xfId="0" applyAlignment="1" applyBorder="1" applyFont="1" applyNumberFormat="1">
      <alignment horizontal="right" readingOrder="0" vertical="center"/>
    </xf>
    <xf borderId="34" fillId="0" fontId="3" numFmtId="173" xfId="0" applyAlignment="1" applyBorder="1" applyFont="1" applyNumberFormat="1">
      <alignment horizontal="right" readingOrder="0" vertical="center"/>
    </xf>
    <xf borderId="52" fillId="0" fontId="3" numFmtId="0" xfId="0" applyAlignment="1" applyBorder="1" applyFont="1">
      <alignment horizontal="center" vertical="center"/>
    </xf>
    <xf borderId="88" fillId="2" fontId="3" numFmtId="173" xfId="0" applyAlignment="1" applyBorder="1" applyFont="1" applyNumberFormat="1">
      <alignment horizontal="center" readingOrder="0" vertical="center"/>
    </xf>
    <xf borderId="89" fillId="0" fontId="2" numFmtId="1" xfId="0" applyAlignment="1" applyBorder="1" applyFont="1" applyNumberFormat="1">
      <alignment horizontal="center" vertical="center"/>
    </xf>
    <xf borderId="15" fillId="0" fontId="2" numFmtId="168" xfId="0" applyAlignment="1" applyBorder="1" applyFont="1" applyNumberFormat="1">
      <alignment horizontal="center" vertical="center"/>
    </xf>
    <xf borderId="89" fillId="0" fontId="4" numFmtId="0" xfId="0" applyBorder="1" applyFont="1"/>
    <xf borderId="0" fillId="2" fontId="22" numFmtId="0" xfId="0" applyAlignment="1" applyFont="1">
      <alignment horizontal="center" readingOrder="0" vertical="center"/>
    </xf>
    <xf borderId="0" fillId="0" fontId="23" numFmtId="0" xfId="0" applyAlignment="1" applyFont="1">
      <alignment readingOrder="0" vertical="center"/>
    </xf>
    <xf borderId="0" fillId="0" fontId="23" numFmtId="164" xfId="0" applyAlignment="1" applyFont="1" applyNumberFormat="1">
      <alignment readingOrder="0" vertical="center"/>
    </xf>
    <xf borderId="0" fillId="2" fontId="24" numFmtId="0" xfId="0" applyAlignment="1" applyFont="1">
      <alignment readingOrder="0" vertical="center"/>
    </xf>
    <xf borderId="0" fillId="2" fontId="24" numFmtId="164" xfId="0" applyAlignment="1" applyFont="1" applyNumberFormat="1">
      <alignment readingOrder="0" vertical="center"/>
    </xf>
    <xf borderId="0" fillId="0" fontId="23" numFmtId="0" xfId="0" applyAlignment="1" applyFont="1">
      <alignment vertical="center"/>
    </xf>
    <xf borderId="0" fillId="0" fontId="23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600075</xdr:colOff>
      <xdr:row>54</xdr:row>
      <xdr:rowOff>142875</xdr:rowOff>
    </xdr:from>
    <xdr:ext cx="828675" cy="2381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600075</xdr:colOff>
      <xdr:row>34</xdr:row>
      <xdr:rowOff>142875</xdr:rowOff>
    </xdr:from>
    <xdr:ext cx="828675" cy="2381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.38"/>
    <col customWidth="1" min="3" max="3" width="3.88"/>
    <col customWidth="1" min="4" max="6" width="12.63"/>
    <col customWidth="1" min="7" max="7" width="6.38"/>
    <col customWidth="1" min="8" max="10" width="12.63"/>
    <col customWidth="1" min="11" max="11" width="6.38"/>
    <col customWidth="1" min="12" max="12" width="12.63"/>
    <col customWidth="1" min="13" max="13" width="11.38"/>
    <col customWidth="1" min="14" max="14" width="9.5"/>
    <col customWidth="1" min="15" max="15" width="8.25"/>
    <col customWidth="1" min="16" max="16" width="1.38"/>
    <col customWidth="1" min="17" max="17" width="2.63"/>
    <col hidden="1" min="18" max="29" width="12.63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2"/>
      <c r="C2" s="3" t="s">
        <v>0</v>
      </c>
      <c r="D2" s="3"/>
      <c r="E2" s="3"/>
      <c r="F2" s="3"/>
      <c r="G2" s="3"/>
      <c r="H2" s="3"/>
      <c r="I2" s="3"/>
      <c r="J2" s="4"/>
      <c r="K2" s="5" t="s">
        <v>1</v>
      </c>
      <c r="L2" s="6"/>
      <c r="M2" s="7" t="s">
        <v>2</v>
      </c>
      <c r="N2" s="8"/>
      <c r="O2" s="8"/>
      <c r="P2" s="9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0"/>
      <c r="C3" s="11"/>
      <c r="D3" s="12" t="s">
        <v>3</v>
      </c>
      <c r="J3" s="13"/>
      <c r="K3" s="14" t="s">
        <v>4</v>
      </c>
      <c r="L3" s="15"/>
      <c r="M3" s="16" t="s">
        <v>5</v>
      </c>
      <c r="N3" s="17"/>
      <c r="O3" s="17"/>
      <c r="P3" s="1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8.75" customHeight="1">
      <c r="A4" s="1"/>
      <c r="B4" s="10"/>
      <c r="C4" s="19"/>
      <c r="D4" s="20" t="s">
        <v>6</v>
      </c>
      <c r="J4" s="21"/>
      <c r="K4" s="14" t="s">
        <v>7</v>
      </c>
      <c r="L4" s="15"/>
      <c r="M4" s="22" t="s">
        <v>8</v>
      </c>
      <c r="N4" s="17"/>
      <c r="O4" s="17"/>
      <c r="P4" s="1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6.0" customHeight="1">
      <c r="A5" s="1"/>
      <c r="B5" s="10"/>
      <c r="C5" s="19"/>
      <c r="D5" s="23"/>
      <c r="J5" s="21"/>
      <c r="K5" s="24"/>
      <c r="L5" s="17"/>
      <c r="M5" s="17"/>
      <c r="N5" s="17"/>
      <c r="O5" s="17"/>
      <c r="P5" s="18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8.75" customHeight="1">
      <c r="A6" s="1"/>
      <c r="B6" s="10"/>
      <c r="C6" s="19"/>
      <c r="D6" s="25" t="s">
        <v>9</v>
      </c>
      <c r="E6" s="26">
        <f>TODAY()</f>
        <v>45870</v>
      </c>
      <c r="F6" s="27"/>
      <c r="G6" s="28"/>
      <c r="H6" s="29"/>
      <c r="I6" s="29"/>
      <c r="J6" s="30"/>
      <c r="K6" s="14" t="s">
        <v>10</v>
      </c>
      <c r="L6" s="15"/>
      <c r="M6" s="22" t="s">
        <v>11</v>
      </c>
      <c r="N6" s="17"/>
      <c r="O6" s="17"/>
      <c r="P6" s="18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8.75" customHeight="1">
      <c r="A7" s="1"/>
      <c r="B7" s="10"/>
      <c r="D7" s="25" t="s">
        <v>12</v>
      </c>
      <c r="E7" s="26">
        <f>(E6+F7-1)</f>
        <v>45899</v>
      </c>
      <c r="F7" s="31">
        <v>30.0</v>
      </c>
      <c r="H7" s="32"/>
      <c r="I7" s="32"/>
      <c r="J7" s="30"/>
      <c r="K7" s="14" t="s">
        <v>13</v>
      </c>
      <c r="L7" s="15"/>
      <c r="M7" s="22" t="s">
        <v>14</v>
      </c>
      <c r="N7" s="17"/>
      <c r="O7" s="17"/>
      <c r="P7" s="18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8.75" customHeight="1">
      <c r="A8" s="1"/>
      <c r="B8" s="33"/>
      <c r="C8" s="34"/>
      <c r="D8" s="35"/>
      <c r="E8" s="35"/>
      <c r="F8" s="35"/>
      <c r="G8" s="35"/>
      <c r="H8" s="35"/>
      <c r="I8" s="35"/>
      <c r="J8" s="36"/>
      <c r="K8" s="37" t="s">
        <v>15</v>
      </c>
      <c r="L8" s="38"/>
      <c r="M8" s="39" t="s">
        <v>16</v>
      </c>
      <c r="N8" s="40"/>
      <c r="O8" s="40"/>
      <c r="P8" s="4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30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30.0" customHeight="1">
      <c r="A10" s="1"/>
      <c r="B10" s="42" t="s">
        <v>17</v>
      </c>
      <c r="C10" s="43"/>
      <c r="D10" s="43"/>
      <c r="E10" s="43"/>
      <c r="F10" s="43"/>
      <c r="G10" s="43"/>
      <c r="H10" s="43"/>
      <c r="I10" s="44"/>
      <c r="J10" s="45">
        <f>sum(J11:J13)-J14</f>
        <v>370000000</v>
      </c>
      <c r="K10" s="43"/>
      <c r="L10" s="43"/>
      <c r="M10" s="46"/>
      <c r="N10" s="45">
        <f t="shared" ref="N10:N14" si="1">J10*10%</f>
        <v>37000000</v>
      </c>
      <c r="O10" s="43"/>
      <c r="P10" s="44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22.5" customHeight="1">
      <c r="A11" s="1"/>
      <c r="B11" s="47"/>
      <c r="C11" s="47"/>
      <c r="D11" s="48"/>
      <c r="E11" s="49" t="s">
        <v>18</v>
      </c>
      <c r="F11" s="50"/>
      <c r="G11" s="50"/>
      <c r="H11" s="50"/>
      <c r="I11" s="51"/>
      <c r="J11" s="52">
        <f>sum(L27+L40+L50)</f>
        <v>255044700</v>
      </c>
      <c r="K11" s="50"/>
      <c r="L11" s="50"/>
      <c r="M11" s="53"/>
      <c r="N11" s="52">
        <f t="shared" si="1"/>
        <v>25504470</v>
      </c>
      <c r="O11" s="50"/>
      <c r="P11" s="5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22.5" customHeight="1">
      <c r="A12" s="1"/>
      <c r="B12" s="47"/>
      <c r="C12" s="47"/>
      <c r="D12" s="48"/>
      <c r="E12" s="49" t="s">
        <v>19</v>
      </c>
      <c r="F12" s="50"/>
      <c r="G12" s="53"/>
      <c r="H12" s="55">
        <v>0.25</v>
      </c>
      <c r="I12" s="51"/>
      <c r="J12" s="52">
        <f>J11*H12</f>
        <v>63761175</v>
      </c>
      <c r="K12" s="50"/>
      <c r="L12" s="50"/>
      <c r="M12" s="53"/>
      <c r="N12" s="52">
        <f t="shared" si="1"/>
        <v>6376117.5</v>
      </c>
      <c r="O12" s="50"/>
      <c r="P12" s="54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22.5" customHeight="1">
      <c r="A13" s="1"/>
      <c r="B13" s="47"/>
      <c r="C13" s="47"/>
      <c r="D13" s="48"/>
      <c r="E13" s="56" t="s">
        <v>20</v>
      </c>
      <c r="G13" s="57"/>
      <c r="H13" s="58">
        <v>0.2</v>
      </c>
      <c r="I13" s="21"/>
      <c r="J13" s="59">
        <f>SUM(J11:J12)*H13</f>
        <v>63761175</v>
      </c>
      <c r="M13" s="57"/>
      <c r="N13" s="59">
        <f t="shared" si="1"/>
        <v>6376117.5</v>
      </c>
      <c r="P13" s="60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22.5" customHeight="1">
      <c r="A14" s="1"/>
      <c r="B14" s="47"/>
      <c r="C14" s="47"/>
      <c r="D14" s="48"/>
      <c r="E14" s="61" t="s">
        <v>21</v>
      </c>
      <c r="F14" s="62"/>
      <c r="G14" s="63"/>
      <c r="H14" s="64"/>
      <c r="I14" s="65"/>
      <c r="J14" s="66">
        <v>1.256705E7</v>
      </c>
      <c r="K14" s="62"/>
      <c r="L14" s="62"/>
      <c r="M14" s="63"/>
      <c r="N14" s="66">
        <f t="shared" si="1"/>
        <v>1256705</v>
      </c>
      <c r="O14" s="62"/>
      <c r="P14" s="67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1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26.25" customHeight="1">
      <c r="A16" s="1"/>
      <c r="B16" s="47"/>
      <c r="C16" s="47"/>
      <c r="D16" s="47"/>
      <c r="E16" s="68" t="s">
        <v>22</v>
      </c>
      <c r="F16" s="43"/>
      <c r="G16" s="44"/>
      <c r="H16" s="69" t="s">
        <v>23</v>
      </c>
      <c r="I16" s="70" t="s">
        <v>24</v>
      </c>
      <c r="J16" s="43"/>
      <c r="K16" s="43"/>
      <c r="L16" s="69" t="s">
        <v>25</v>
      </c>
      <c r="M16" s="71" t="s">
        <v>26</v>
      </c>
      <c r="N16" s="43"/>
      <c r="O16" s="43"/>
      <c r="P16" s="44"/>
      <c r="Q16" s="1"/>
      <c r="R16" s="72"/>
      <c r="S16" s="72"/>
      <c r="T16" s="73"/>
      <c r="U16" s="1"/>
      <c r="V16" s="1"/>
      <c r="W16" s="1"/>
      <c r="X16" s="1"/>
      <c r="Y16" s="1"/>
      <c r="Z16" s="1"/>
      <c r="AA16" s="1"/>
      <c r="AB16" s="1"/>
      <c r="AC16" s="1"/>
    </row>
    <row r="17" ht="26.25" customHeight="1">
      <c r="A17" s="1"/>
      <c r="B17" s="47"/>
      <c r="C17" s="47"/>
      <c r="D17" s="47"/>
      <c r="E17" s="47"/>
      <c r="F17" s="47"/>
      <c r="G17" s="47"/>
      <c r="H17" s="69" t="s">
        <v>27</v>
      </c>
      <c r="I17" s="70" t="s">
        <v>28</v>
      </c>
      <c r="J17" s="43"/>
      <c r="K17" s="43"/>
      <c r="L17" s="69" t="s">
        <v>29</v>
      </c>
      <c r="M17" s="71" t="s">
        <v>30</v>
      </c>
      <c r="N17" s="43"/>
      <c r="O17" s="43"/>
      <c r="P17" s="44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30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31.5" customHeight="1">
      <c r="A19" s="1"/>
      <c r="B19" s="74" t="s">
        <v>31</v>
      </c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7.5" customHeight="1">
      <c r="A20" s="1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22.5" customHeight="1">
      <c r="A21" s="1"/>
      <c r="B21" s="77" t="s">
        <v>32</v>
      </c>
      <c r="C21" s="78"/>
      <c r="D21" s="79" t="s">
        <v>33</v>
      </c>
      <c r="E21" s="79" t="s">
        <v>34</v>
      </c>
      <c r="F21" s="43"/>
      <c r="G21" s="78"/>
      <c r="H21" s="80" t="s">
        <v>35</v>
      </c>
      <c r="I21" s="81" t="s">
        <v>36</v>
      </c>
      <c r="J21" s="81" t="s">
        <v>37</v>
      </c>
      <c r="K21" s="80" t="s">
        <v>38</v>
      </c>
      <c r="L21" s="79" t="s">
        <v>39</v>
      </c>
      <c r="M21" s="78"/>
      <c r="N21" s="79" t="s">
        <v>40</v>
      </c>
      <c r="O21" s="43"/>
      <c r="P21" s="44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3.75" customHeight="1">
      <c r="A22" s="82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4"/>
      <c r="M22" s="84"/>
      <c r="N22" s="84"/>
      <c r="O22" s="84"/>
      <c r="P22" s="84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</row>
    <row r="23" ht="26.25" customHeight="1">
      <c r="A23" s="85"/>
      <c r="B23" s="86" t="s">
        <v>41</v>
      </c>
      <c r="C23" s="43"/>
      <c r="D23" s="43"/>
      <c r="E23" s="43"/>
      <c r="F23" s="43"/>
      <c r="G23" s="43"/>
      <c r="H23" s="43"/>
      <c r="I23" s="43"/>
      <c r="J23" s="43"/>
      <c r="K23" s="78"/>
      <c r="L23" s="87">
        <f>sum(L27)</f>
        <v>28271700</v>
      </c>
      <c r="M23" s="78"/>
      <c r="N23" s="87">
        <f t="shared" ref="N23:N27" si="2">L23*10%</f>
        <v>2827170</v>
      </c>
      <c r="O23" s="43"/>
      <c r="P23" s="44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</row>
    <row r="24" ht="22.5" customHeight="1">
      <c r="A24" s="1"/>
      <c r="B24" s="88">
        <v>1.0</v>
      </c>
      <c r="C24" s="51"/>
      <c r="D24" s="89" t="s">
        <v>42</v>
      </c>
      <c r="E24" s="90" t="s">
        <v>43</v>
      </c>
      <c r="F24" s="50"/>
      <c r="G24" s="53"/>
      <c r="H24" s="91">
        <v>45778.0</v>
      </c>
      <c r="I24" s="92">
        <v>45793.0</v>
      </c>
      <c r="J24" s="93">
        <f>'SET 투입 인력 및 비용'!J5</f>
        <v>15000000</v>
      </c>
      <c r="K24" s="94">
        <v>15.0</v>
      </c>
      <c r="L24" s="95">
        <f>J24*3.33%*K24</f>
        <v>7492500</v>
      </c>
      <c r="M24" s="53"/>
      <c r="N24" s="96">
        <f t="shared" si="2"/>
        <v>749250</v>
      </c>
      <c r="O24" s="50"/>
      <c r="P24" s="54"/>
      <c r="Q24" s="97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22.5" customHeight="1">
      <c r="A25" s="1"/>
      <c r="B25" s="88">
        <f t="shared" ref="B25:B26" si="3">B24+1</f>
        <v>2</v>
      </c>
      <c r="C25" s="51"/>
      <c r="D25" s="98"/>
      <c r="E25" s="99" t="s">
        <v>44</v>
      </c>
      <c r="F25" s="100"/>
      <c r="G25" s="101"/>
      <c r="H25" s="91">
        <v>45778.0</v>
      </c>
      <c r="I25" s="92">
        <v>45898.0</v>
      </c>
      <c r="J25" s="93">
        <f>'SET 투입 인력 및 비용'!J5</f>
        <v>15000000</v>
      </c>
      <c r="K25" s="94">
        <v>79.0</v>
      </c>
      <c r="L25" s="95">
        <f>J25*3.33%*K25*0.4</f>
        <v>15784200</v>
      </c>
      <c r="M25" s="53"/>
      <c r="N25" s="96">
        <f t="shared" si="2"/>
        <v>1578420</v>
      </c>
      <c r="O25" s="50"/>
      <c r="P25" s="54"/>
      <c r="Q25" s="97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22.5" customHeight="1">
      <c r="A26" s="1"/>
      <c r="B26" s="88">
        <f t="shared" si="3"/>
        <v>3</v>
      </c>
      <c r="C26" s="51"/>
      <c r="D26" s="102"/>
      <c r="E26" s="99" t="s">
        <v>45</v>
      </c>
      <c r="F26" s="100"/>
      <c r="G26" s="101"/>
      <c r="H26" s="91">
        <v>45778.0</v>
      </c>
      <c r="I26" s="92">
        <v>45808.0</v>
      </c>
      <c r="J26" s="93">
        <f>'SET 투입 인력 및 비용'!J$6</f>
        <v>7500000</v>
      </c>
      <c r="K26" s="94">
        <v>20.0</v>
      </c>
      <c r="L26" s="103">
        <f>J26*3.33%*K26</f>
        <v>4995000</v>
      </c>
      <c r="M26" s="57"/>
      <c r="N26" s="104">
        <f t="shared" si="2"/>
        <v>499500</v>
      </c>
      <c r="P26" s="60"/>
      <c r="Q26" s="97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22.5" customHeight="1">
      <c r="A27" s="1"/>
      <c r="B27" s="105"/>
      <c r="C27" s="65"/>
      <c r="D27" s="106" t="s">
        <v>46</v>
      </c>
      <c r="E27" s="62"/>
      <c r="F27" s="62"/>
      <c r="G27" s="62"/>
      <c r="H27" s="62"/>
      <c r="I27" s="62"/>
      <c r="J27" s="107"/>
      <c r="K27" s="108">
        <f t="shared" ref="K27:L27" si="4">sum(K24:K26)</f>
        <v>114</v>
      </c>
      <c r="L27" s="109">
        <f t="shared" si="4"/>
        <v>28271700</v>
      </c>
      <c r="M27" s="63"/>
      <c r="N27" s="109">
        <f t="shared" si="2"/>
        <v>2827170</v>
      </c>
      <c r="O27" s="62"/>
      <c r="P27" s="67"/>
      <c r="Q27" s="9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30.0" customHeight="1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110"/>
      <c r="M28" s="110"/>
      <c r="N28" s="110"/>
      <c r="O28" s="110"/>
      <c r="P28" s="110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</row>
    <row r="29" ht="26.25" customHeight="1">
      <c r="A29" s="82"/>
      <c r="B29" s="86" t="s">
        <v>47</v>
      </c>
      <c r="C29" s="43"/>
      <c r="D29" s="43"/>
      <c r="E29" s="43"/>
      <c r="F29" s="43"/>
      <c r="G29" s="43"/>
      <c r="H29" s="43"/>
      <c r="I29" s="43"/>
      <c r="J29" s="43"/>
      <c r="K29" s="78"/>
      <c r="L29" s="87">
        <f>sum(L30:L39)</f>
        <v>160839000</v>
      </c>
      <c r="M29" s="78"/>
      <c r="N29" s="87">
        <f t="shared" ref="N29:N40" si="5">L29*10%</f>
        <v>16083900</v>
      </c>
      <c r="O29" s="43"/>
      <c r="P29" s="44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</row>
    <row r="30">
      <c r="A30" s="82"/>
      <c r="B30" s="111">
        <v>3.0</v>
      </c>
      <c r="C30" s="112"/>
      <c r="D30" s="113" t="s">
        <v>48</v>
      </c>
      <c r="E30" s="114" t="s">
        <v>49</v>
      </c>
      <c r="F30" s="50"/>
      <c r="G30" s="53"/>
      <c r="H30" s="115">
        <v>45778.0</v>
      </c>
      <c r="I30" s="116">
        <f>WORKDAY(H30, (K30) - 1, 'SET 주요 휴일'!$B$2:$B$26)
</f>
        <v>45838</v>
      </c>
      <c r="J30" s="117">
        <f>'SET 투입 인력 및 비용'!J$7</f>
        <v>7500000</v>
      </c>
      <c r="K30" s="118">
        <v>40.0</v>
      </c>
      <c r="L30" s="95">
        <f>J30*K30*3.33%</f>
        <v>9990000</v>
      </c>
      <c r="M30" s="53"/>
      <c r="N30" s="119">
        <f t="shared" si="5"/>
        <v>999000</v>
      </c>
      <c r="O30" s="8"/>
      <c r="P30" s="9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</row>
    <row r="31">
      <c r="A31" s="82"/>
      <c r="B31" s="88">
        <f t="shared" ref="B31:B39" si="6">B30+1</f>
        <v>4</v>
      </c>
      <c r="C31" s="51"/>
      <c r="D31" s="120" t="s">
        <v>50</v>
      </c>
      <c r="E31" s="114" t="s">
        <v>51</v>
      </c>
      <c r="F31" s="50"/>
      <c r="G31" s="53"/>
      <c r="H31" s="115">
        <v>45778.0</v>
      </c>
      <c r="I31" s="92">
        <f>WORKDAY(H31, (K31) - 1, 'SET 주요 휴일'!$B$2:$B$26)
</f>
        <v>45810</v>
      </c>
      <c r="J31" s="117">
        <f>SUM('SET 투입 인력 및 비용'!J$9, 'SET 투입 인력 및 비용'!J$11)</f>
        <v>30000000</v>
      </c>
      <c r="K31" s="94">
        <v>20.0</v>
      </c>
      <c r="L31" s="95">
        <f t="shared" ref="L31:L39" si="7">J31*3.33%*K31</f>
        <v>19980000</v>
      </c>
      <c r="M31" s="53"/>
      <c r="N31" s="96">
        <f t="shared" si="5"/>
        <v>1998000</v>
      </c>
      <c r="O31" s="50"/>
      <c r="P31" s="54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</row>
    <row r="32">
      <c r="A32" s="82"/>
      <c r="B32" s="121">
        <f t="shared" si="6"/>
        <v>5</v>
      </c>
      <c r="C32" s="122"/>
      <c r="D32" s="123" t="s">
        <v>52</v>
      </c>
      <c r="E32" s="114" t="s">
        <v>53</v>
      </c>
      <c r="F32" s="50"/>
      <c r="G32" s="53"/>
      <c r="H32" s="124">
        <f>WORKDAY(H43, (K43), 'SET 주요 휴일'!$B$2:$B$26)
</f>
        <v>45817</v>
      </c>
      <c r="I32" s="92">
        <f>WORKDAY(H32, (K32) - 1, 'SET 주요 휴일'!$B$2:$B$26)
</f>
        <v>45832</v>
      </c>
      <c r="J32" s="117">
        <f>SUM('SET 투입 인력 및 비용'!J$9, 'SET 투입 인력 및 비용'!J$11)</f>
        <v>30000000</v>
      </c>
      <c r="K32" s="125">
        <v>12.0</v>
      </c>
      <c r="L32" s="95">
        <f t="shared" si="7"/>
        <v>11988000</v>
      </c>
      <c r="M32" s="53"/>
      <c r="N32" s="126">
        <f t="shared" si="5"/>
        <v>1198800</v>
      </c>
      <c r="O32" s="17"/>
      <c r="P32" s="18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</row>
    <row r="33">
      <c r="A33" s="82"/>
      <c r="B33" s="121">
        <f t="shared" si="6"/>
        <v>6</v>
      </c>
      <c r="C33" s="122"/>
      <c r="D33" s="123" t="s">
        <v>54</v>
      </c>
      <c r="E33" s="127" t="s">
        <v>55</v>
      </c>
      <c r="F33" s="17"/>
      <c r="G33" s="15"/>
      <c r="H33" s="124">
        <f>WORKDAY(H45, (K45), 'SET 주요 휴일'!$B$2:$B$26)
</f>
        <v>45876</v>
      </c>
      <c r="I33" s="92">
        <f>WORKDAY(H33, (K33) - 1, 'SET 주요 휴일'!$B$2:$B$26)
</f>
        <v>45897</v>
      </c>
      <c r="J33" s="117">
        <f>SUM('SET 투입 인력 및 비용'!J$10, 'SET 투입 인력 및 비용'!J$12)</f>
        <v>18000000</v>
      </c>
      <c r="K33" s="125">
        <v>12.0</v>
      </c>
      <c r="L33" s="95">
        <f t="shared" si="7"/>
        <v>7192800</v>
      </c>
      <c r="M33" s="53"/>
      <c r="N33" s="126">
        <f t="shared" si="5"/>
        <v>719280</v>
      </c>
      <c r="O33" s="17"/>
      <c r="P33" s="18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</row>
    <row r="34">
      <c r="A34" s="82"/>
      <c r="B34" s="121">
        <f t="shared" si="6"/>
        <v>7</v>
      </c>
      <c r="C34" s="122"/>
      <c r="D34" s="123" t="s">
        <v>56</v>
      </c>
      <c r="E34" s="127" t="s">
        <v>57</v>
      </c>
      <c r="F34" s="17"/>
      <c r="G34" s="15"/>
      <c r="H34" s="124">
        <f>WORKDAY(H44, (K44), 'SET 주요 휴일'!$B$2:$B$26)
</f>
        <v>45839</v>
      </c>
      <c r="I34" s="92">
        <f>WORKDAY(H34, (K34) - 1, 'SET 주요 휴일'!$B$2:$B$26)
</f>
        <v>45891</v>
      </c>
      <c r="J34" s="117">
        <f>SUM('SET 투입 인력 및 비용'!J$9, 'SET 투입 인력 및 비용'!J$11)</f>
        <v>30000000</v>
      </c>
      <c r="K34" s="125">
        <v>34.0</v>
      </c>
      <c r="L34" s="95">
        <f t="shared" si="7"/>
        <v>33966000</v>
      </c>
      <c r="M34" s="53"/>
      <c r="N34" s="126">
        <f t="shared" si="5"/>
        <v>3396600</v>
      </c>
      <c r="O34" s="17"/>
      <c r="P34" s="18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</row>
    <row r="35">
      <c r="A35" s="82"/>
      <c r="B35" s="121">
        <f t="shared" si="6"/>
        <v>8</v>
      </c>
      <c r="C35" s="122"/>
      <c r="D35" s="123" t="s">
        <v>58</v>
      </c>
      <c r="E35" s="127" t="s">
        <v>59</v>
      </c>
      <c r="F35" s="17"/>
      <c r="G35" s="15"/>
      <c r="H35" s="115">
        <f>WORKDAY(H46, (K46), 'SET 주요 휴일'!$B$2:$B$26)
</f>
        <v>45821</v>
      </c>
      <c r="I35" s="92">
        <f>WORKDAY(H35, (K35) - 1, 'SET 주요 휴일'!$B$2:$B$26)
</f>
        <v>45863</v>
      </c>
      <c r="J35" s="117">
        <f>SUM('SET 투입 인력 및 비용'!J$10, 'SET 투입 인력 및 비용'!J$11)</f>
        <v>24000000</v>
      </c>
      <c r="K35" s="125">
        <v>30.0</v>
      </c>
      <c r="L35" s="95">
        <f t="shared" si="7"/>
        <v>23976000</v>
      </c>
      <c r="M35" s="53"/>
      <c r="N35" s="128">
        <f t="shared" si="5"/>
        <v>2397600</v>
      </c>
      <c r="O35" s="17"/>
      <c r="P35" s="18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</row>
    <row r="36">
      <c r="A36" s="82"/>
      <c r="B36" s="121">
        <f t="shared" si="6"/>
        <v>9</v>
      </c>
      <c r="C36" s="122"/>
      <c r="D36" s="123" t="s">
        <v>60</v>
      </c>
      <c r="E36" s="129" t="s">
        <v>61</v>
      </c>
      <c r="F36" s="17"/>
      <c r="G36" s="15"/>
      <c r="H36" s="124">
        <f>WORKDAY(H34, (K34), 'SET 주요 휴일'!$B$2:$B$26)
</f>
        <v>45894</v>
      </c>
      <c r="I36" s="92">
        <f>WORKDAY(H36, (K36) - 1, 'SET 주요 휴일'!$B$2:$B$26)
</f>
        <v>45898</v>
      </c>
      <c r="J36" s="117">
        <f>SUM('SET 투입 인력 및 비용'!J$9, 'SET 투입 인력 및 비용'!J$11)</f>
        <v>30000000</v>
      </c>
      <c r="K36" s="125">
        <v>5.0</v>
      </c>
      <c r="L36" s="95">
        <f t="shared" si="7"/>
        <v>4995000</v>
      </c>
      <c r="M36" s="53"/>
      <c r="N36" s="126">
        <f t="shared" si="5"/>
        <v>499500</v>
      </c>
      <c r="O36" s="17"/>
      <c r="P36" s="18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</row>
    <row r="37">
      <c r="A37" s="82"/>
      <c r="B37" s="121">
        <f t="shared" si="6"/>
        <v>10</v>
      </c>
      <c r="C37" s="122"/>
      <c r="D37" s="123" t="s">
        <v>62</v>
      </c>
      <c r="E37" s="129" t="s">
        <v>63</v>
      </c>
      <c r="F37" s="17"/>
      <c r="G37" s="15"/>
      <c r="H37" s="115">
        <v>45839.0</v>
      </c>
      <c r="I37" s="92">
        <f>WORKDAY(H37, (K37) - 1, 'SET 주요 휴일'!$B$2:$B$26)
</f>
        <v>45898</v>
      </c>
      <c r="J37" s="117">
        <f>SUM('SET 투입 인력 및 비용'!J$11 : 'SET 투입 인력 및 비용'!J$12)</f>
        <v>24000000</v>
      </c>
      <c r="K37" s="125">
        <v>39.0</v>
      </c>
      <c r="L37" s="95">
        <f t="shared" si="7"/>
        <v>31168800</v>
      </c>
      <c r="M37" s="53"/>
      <c r="N37" s="126">
        <f t="shared" si="5"/>
        <v>3116880</v>
      </c>
      <c r="O37" s="17"/>
      <c r="P37" s="18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</row>
    <row r="38">
      <c r="A38" s="82"/>
      <c r="B38" s="121">
        <f t="shared" si="6"/>
        <v>11</v>
      </c>
      <c r="C38" s="122"/>
      <c r="D38" s="123" t="s">
        <v>64</v>
      </c>
      <c r="E38" s="129" t="s">
        <v>65</v>
      </c>
      <c r="F38" s="17"/>
      <c r="G38" s="15"/>
      <c r="H38" s="115">
        <v>45778.0</v>
      </c>
      <c r="I38" s="92">
        <f>WORKDAY(H38, (K38) - 1, 'SET 주요 휴일'!$B$2:$B$26)
</f>
        <v>45786</v>
      </c>
      <c r="J38" s="117">
        <f>SUM('SET 투입 인력 및 비용'!J$10, 'SET 투입 인력 및 비용'!J$12)</f>
        <v>18000000</v>
      </c>
      <c r="K38" s="125">
        <v>4.0</v>
      </c>
      <c r="L38" s="95">
        <f t="shared" si="7"/>
        <v>2397600</v>
      </c>
      <c r="M38" s="53"/>
      <c r="N38" s="126">
        <f t="shared" si="5"/>
        <v>239760</v>
      </c>
      <c r="O38" s="17"/>
      <c r="P38" s="18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</row>
    <row r="39">
      <c r="A39" s="82"/>
      <c r="B39" s="121">
        <f t="shared" si="6"/>
        <v>12</v>
      </c>
      <c r="C39" s="122"/>
      <c r="D39" s="130" t="s">
        <v>66</v>
      </c>
      <c r="E39" s="129" t="s">
        <v>67</v>
      </c>
      <c r="F39" s="17"/>
      <c r="G39" s="15"/>
      <c r="H39" s="115">
        <v>45868.0</v>
      </c>
      <c r="I39" s="92">
        <f>WORKDAY(H39, (K39) - 1, 'SET 주요 휴일'!$B$2:$B$26)
</f>
        <v>45898</v>
      </c>
      <c r="J39" s="117">
        <v>2.4E7</v>
      </c>
      <c r="K39" s="125">
        <v>19.0</v>
      </c>
      <c r="L39" s="95">
        <f t="shared" si="7"/>
        <v>15184800</v>
      </c>
      <c r="M39" s="53"/>
      <c r="N39" s="126">
        <f t="shared" si="5"/>
        <v>1518480</v>
      </c>
      <c r="O39" s="17"/>
      <c r="P39" s="18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</row>
    <row r="40" ht="26.25" customHeight="1">
      <c r="A40" s="82"/>
      <c r="B40" s="105"/>
      <c r="C40" s="65"/>
      <c r="D40" s="131" t="s">
        <v>46</v>
      </c>
      <c r="E40" s="62"/>
      <c r="F40" s="62"/>
      <c r="G40" s="62"/>
      <c r="H40" s="62"/>
      <c r="I40" s="62"/>
      <c r="J40" s="65"/>
      <c r="K40" s="132">
        <f>SUM(K30:K38)</f>
        <v>196</v>
      </c>
      <c r="L40" s="109">
        <f>sum(L30:L39)</f>
        <v>160839000</v>
      </c>
      <c r="M40" s="63"/>
      <c r="N40" s="109">
        <f t="shared" si="5"/>
        <v>16083900</v>
      </c>
      <c r="O40" s="62"/>
      <c r="P40" s="67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</row>
    <row r="41" ht="30.0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110"/>
      <c r="M41" s="110"/>
      <c r="N41" s="110"/>
      <c r="O41" s="110"/>
      <c r="P41" s="110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</row>
    <row r="42" ht="26.25" customHeight="1">
      <c r="A42" s="85"/>
      <c r="B42" s="86" t="s">
        <v>68</v>
      </c>
      <c r="C42" s="43"/>
      <c r="D42" s="43"/>
      <c r="E42" s="43"/>
      <c r="F42" s="43"/>
      <c r="G42" s="43"/>
      <c r="H42" s="43"/>
      <c r="I42" s="43"/>
      <c r="J42" s="43"/>
      <c r="K42" s="78"/>
      <c r="L42" s="87">
        <f>sum(L43:L49)</f>
        <v>65934000</v>
      </c>
      <c r="M42" s="78"/>
      <c r="N42" s="87">
        <f t="shared" ref="N42:N50" si="8">L42*10%</f>
        <v>6593400</v>
      </c>
      <c r="O42" s="43"/>
      <c r="P42" s="44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</row>
    <row r="43">
      <c r="A43" s="1"/>
      <c r="B43" s="111">
        <v>12.0</v>
      </c>
      <c r="C43" s="112"/>
      <c r="D43" s="113" t="s">
        <v>50</v>
      </c>
      <c r="E43" s="114" t="s">
        <v>69</v>
      </c>
      <c r="F43" s="50"/>
      <c r="G43" s="53"/>
      <c r="H43" s="115">
        <f>WORKDAY(H31, (K31), 'SET 주요 휴일'!$B$2:$B$26)
</f>
        <v>45811</v>
      </c>
      <c r="I43" s="92">
        <f>WORKDAY(H43, (K43) - 1, 'SET 주요 휴일'!$B$2:$B$26)
</f>
        <v>45814</v>
      </c>
      <c r="J43" s="117">
        <f>SUM('SET 투입 인력 및 비용'!J$9, 'SET 투입 인력 및 비용'!J$11)</f>
        <v>30000000</v>
      </c>
      <c r="K43" s="125">
        <v>4.0</v>
      </c>
      <c r="L43" s="95">
        <f t="shared" ref="L43:L49" si="9">J43*3.33%*K43</f>
        <v>3996000</v>
      </c>
      <c r="M43" s="53"/>
      <c r="N43" s="119">
        <f t="shared" si="8"/>
        <v>399600</v>
      </c>
      <c r="O43" s="8"/>
      <c r="P43" s="9"/>
      <c r="Q43" s="9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82"/>
      <c r="B44" s="121">
        <f t="shared" ref="B44:B49" si="10">B43+1</f>
        <v>13</v>
      </c>
      <c r="C44" s="122"/>
      <c r="D44" s="123" t="s">
        <v>52</v>
      </c>
      <c r="E44" s="129" t="s">
        <v>70</v>
      </c>
      <c r="F44" s="17"/>
      <c r="G44" s="15"/>
      <c r="H44" s="124">
        <f>WORKDAY(H32, (K32), 'SET 주요 휴일'!$B$2:$B$26)
</f>
        <v>45833</v>
      </c>
      <c r="I44" s="92">
        <f>WORKDAY(I32, (K44) - 1, 'SET 주요 휴일'!$B$2:$B$26)
</f>
        <v>45835</v>
      </c>
      <c r="J44" s="117">
        <f>SUM('SET 투입 인력 및 비용'!J$9, 'SET 투입 인력 및 비용'!J$11)</f>
        <v>30000000</v>
      </c>
      <c r="K44" s="125">
        <v>4.0</v>
      </c>
      <c r="L44" s="95">
        <f t="shared" si="9"/>
        <v>3996000</v>
      </c>
      <c r="M44" s="53"/>
      <c r="N44" s="126">
        <f t="shared" si="8"/>
        <v>399600</v>
      </c>
      <c r="O44" s="17"/>
      <c r="P44" s="18"/>
      <c r="Q44" s="97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</row>
    <row r="45">
      <c r="A45" s="82"/>
      <c r="B45" s="121">
        <f t="shared" si="10"/>
        <v>14</v>
      </c>
      <c r="C45" s="122"/>
      <c r="D45" s="123" t="s">
        <v>58</v>
      </c>
      <c r="E45" s="127" t="s">
        <v>71</v>
      </c>
      <c r="F45" s="17"/>
      <c r="G45" s="15"/>
      <c r="H45" s="124">
        <f>WORKDAY(H35, (K35), 'SET 주요 휴일'!$B$2:$B$26)
</f>
        <v>45866</v>
      </c>
      <c r="I45" s="92">
        <f>WORKDAY(H45, (K45) - 1, 'SET 주요 휴일'!$B$2:$B$26)
</f>
        <v>45875</v>
      </c>
      <c r="J45" s="117">
        <f>SUM('SET 투입 인력 및 비용'!J$10, 'SET 투입 인력 및 비용'!J$11)</f>
        <v>24000000</v>
      </c>
      <c r="K45" s="125">
        <v>8.0</v>
      </c>
      <c r="L45" s="95">
        <f t="shared" si="9"/>
        <v>6393600</v>
      </c>
      <c r="M45" s="53"/>
      <c r="N45" s="126">
        <f t="shared" si="8"/>
        <v>639360</v>
      </c>
      <c r="O45" s="17"/>
      <c r="P45" s="18"/>
      <c r="Q45" s="97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</row>
    <row r="46">
      <c r="A46" s="133"/>
      <c r="B46" s="121">
        <f t="shared" si="10"/>
        <v>15</v>
      </c>
      <c r="C46" s="122"/>
      <c r="D46" s="123" t="s">
        <v>64</v>
      </c>
      <c r="E46" s="127" t="s">
        <v>72</v>
      </c>
      <c r="F46" s="17"/>
      <c r="G46" s="15"/>
      <c r="H46" s="124">
        <f>WORKDAY(H38, (K38), 'SET 주요 휴일'!$B$2:$B$26)
</f>
        <v>45789</v>
      </c>
      <c r="I46" s="92">
        <f>WORKDAY(H46, (K46) - 1, 'SET 주요 휴일'!$B$2:$B$26)
</f>
        <v>45820</v>
      </c>
      <c r="J46" s="117">
        <f>SUM('SET 투입 인력 및 비용'!J$10, 'SET 투입 인력 및 비용'!J$12)</f>
        <v>18000000</v>
      </c>
      <c r="K46" s="125">
        <v>24.0</v>
      </c>
      <c r="L46" s="95">
        <f t="shared" si="9"/>
        <v>14385600</v>
      </c>
      <c r="M46" s="53"/>
      <c r="N46" s="128">
        <f t="shared" si="8"/>
        <v>1438560</v>
      </c>
      <c r="O46" s="17"/>
      <c r="P46" s="18"/>
      <c r="Q46" s="134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>
      <c r="A47" s="133"/>
      <c r="B47" s="121">
        <f t="shared" si="10"/>
        <v>16</v>
      </c>
      <c r="C47" s="122"/>
      <c r="D47" s="123" t="s">
        <v>73</v>
      </c>
      <c r="E47" s="127" t="s">
        <v>74</v>
      </c>
      <c r="F47" s="17"/>
      <c r="G47" s="15"/>
      <c r="H47" s="124">
        <f>WORKDAY(H46, (K46), 'SET 주요 휴일'!$B$2:$B$26)
</f>
        <v>45821</v>
      </c>
      <c r="I47" s="92">
        <f>WORKDAY(H47, (K47) - 1, 'SET 주요 휴일'!$B$2:$B$26)
</f>
        <v>45854</v>
      </c>
      <c r="J47" s="117">
        <v>2.4E7</v>
      </c>
      <c r="K47" s="125">
        <v>24.0</v>
      </c>
      <c r="L47" s="95">
        <f t="shared" si="9"/>
        <v>19180800</v>
      </c>
      <c r="M47" s="53"/>
      <c r="N47" s="128">
        <f t="shared" si="8"/>
        <v>1918080</v>
      </c>
      <c r="O47" s="17"/>
      <c r="P47" s="18"/>
      <c r="Q47" s="134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>
      <c r="A48" s="133"/>
      <c r="B48" s="121">
        <f t="shared" si="10"/>
        <v>17</v>
      </c>
      <c r="C48" s="122"/>
      <c r="D48" s="123" t="s">
        <v>75</v>
      </c>
      <c r="E48" s="127" t="s">
        <v>76</v>
      </c>
      <c r="F48" s="17"/>
      <c r="G48" s="15"/>
      <c r="H48" s="115">
        <v>45809.0</v>
      </c>
      <c r="I48" s="92">
        <f>WORKDAY(H48, (K48) - 1, 'SET 주요 휴일'!$B$2:$B$26)
</f>
        <v>45848</v>
      </c>
      <c r="J48" s="117">
        <f>SUM('SET 투입 인력 및 비용'!J$8, 'SET 투입 인력 및 비용'!J$12)</f>
        <v>15000000</v>
      </c>
      <c r="K48" s="125">
        <v>30.0</v>
      </c>
      <c r="L48" s="95">
        <f t="shared" si="9"/>
        <v>14985000</v>
      </c>
      <c r="M48" s="53"/>
      <c r="N48" s="128">
        <f t="shared" si="8"/>
        <v>1498500</v>
      </c>
      <c r="O48" s="17"/>
      <c r="P48" s="18"/>
      <c r="Q48" s="134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>
      <c r="A49" s="133"/>
      <c r="B49" s="121">
        <f t="shared" si="10"/>
        <v>18</v>
      </c>
      <c r="C49" s="122"/>
      <c r="D49" s="123" t="s">
        <v>77</v>
      </c>
      <c r="E49" s="127" t="s">
        <v>78</v>
      </c>
      <c r="F49" s="17"/>
      <c r="G49" s="15"/>
      <c r="H49" s="115">
        <v>45848.0</v>
      </c>
      <c r="I49" s="92">
        <f>WORKDAY(H49, (K49) - 1, 'SET 주요 휴일'!$B$2:$B$26)
</f>
        <v>45869</v>
      </c>
      <c r="J49" s="117">
        <f>SUM('SET 투입 인력 및 비용'!J$8)</f>
        <v>6000000</v>
      </c>
      <c r="K49" s="125">
        <v>15.0</v>
      </c>
      <c r="L49" s="95">
        <f t="shared" si="9"/>
        <v>2997000</v>
      </c>
      <c r="M49" s="53"/>
      <c r="N49" s="128">
        <f t="shared" si="8"/>
        <v>299700</v>
      </c>
      <c r="O49" s="17"/>
      <c r="P49" s="18"/>
      <c r="Q49" s="134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</row>
    <row r="50" ht="22.5" customHeight="1">
      <c r="A50" s="82"/>
      <c r="B50" s="135"/>
      <c r="C50" s="136"/>
      <c r="D50" s="137" t="s">
        <v>46</v>
      </c>
      <c r="E50" s="138"/>
      <c r="F50" s="138"/>
      <c r="G50" s="138"/>
      <c r="H50" s="138"/>
      <c r="I50" s="138"/>
      <c r="J50" s="136"/>
      <c r="K50" s="139">
        <f>SUM(K43:K48)</f>
        <v>94</v>
      </c>
      <c r="L50" s="140">
        <f>sum(L43:L49)</f>
        <v>65934000</v>
      </c>
      <c r="M50" s="141"/>
      <c r="N50" s="142">
        <f t="shared" si="8"/>
        <v>6593400</v>
      </c>
      <c r="O50" s="138"/>
      <c r="P50" s="143"/>
      <c r="Q50" s="144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ht="30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7.5" customHeight="1">
      <c r="A52" s="1"/>
      <c r="B52" s="74"/>
      <c r="C52" s="75"/>
      <c r="D52" s="75"/>
      <c r="E52" s="75"/>
      <c r="F52" s="7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9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46"/>
      <c r="B53" s="147" t="s">
        <v>79</v>
      </c>
      <c r="G53" s="148" t="s">
        <v>80</v>
      </c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</row>
    <row r="54" ht="15.0" customHeight="1">
      <c r="A54" s="1"/>
      <c r="B54" s="1"/>
      <c r="C54" s="1"/>
      <c r="D54" s="1"/>
      <c r="E54" s="1"/>
      <c r="F54" s="1"/>
      <c r="G54" s="149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45.0" customHeight="1">
      <c r="A55" s="150"/>
      <c r="B55" s="150"/>
      <c r="C55" s="151" t="s">
        <v>81</v>
      </c>
      <c r="D55" s="100"/>
      <c r="E55" s="100"/>
      <c r="F55" s="100"/>
      <c r="G55" s="100"/>
      <c r="H55" s="100"/>
      <c r="I55" s="100"/>
      <c r="J55" s="100"/>
      <c r="K55" s="10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</row>
    <row r="56" ht="7.5" customHeight="1">
      <c r="A56" s="1"/>
      <c r="B56" s="1"/>
      <c r="C56" s="152"/>
      <c r="D56" s="152"/>
      <c r="E56" s="152"/>
      <c r="F56" s="152"/>
      <c r="G56" s="152"/>
      <c r="H56" s="152"/>
      <c r="I56" s="152"/>
      <c r="J56" s="152"/>
      <c r="K56" s="15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8.75" hidden="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8.75" hidden="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8.75" hidden="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8.75" hidden="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8.75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8.75" hidden="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8.75" hidden="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8.75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8.7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8.7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8.7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8.7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8.75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8.7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8.7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8.7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8.75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8.75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8.7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8.7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8.7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8.7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8.7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8.75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8.7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8.7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8.7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8.7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8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8.7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8.7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8.7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8.7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8.7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8.7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8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8.7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8.7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8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8.7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8.7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8.7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8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8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8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8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8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8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8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8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8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8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8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8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8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8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8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8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8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8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8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8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8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8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8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8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8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8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8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8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8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8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8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8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8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8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8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8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8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8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8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8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8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8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8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8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8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8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8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8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8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8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8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8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8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8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8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8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8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8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8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8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8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8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8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8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8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8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8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8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8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8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8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8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8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8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8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8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8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8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8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8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8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8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8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8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8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8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8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8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8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8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8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8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8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8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8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8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8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8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8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8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8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8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8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8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8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8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8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8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8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8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8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8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8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8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8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8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8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8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8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8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8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8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8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8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8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8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8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8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8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8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8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8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8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8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8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8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8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8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8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8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8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8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8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8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8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8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8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8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8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8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8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8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8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8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8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8.7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8.7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8.7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8.7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8.7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8.7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8.7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8.7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8.7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8.7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8.7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8.7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8.7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8.7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8.7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8.7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8.7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8.7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8.7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8.7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8.7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8.7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8.7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8.7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8.7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8.7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8.7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8.7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8.7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8.7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8.7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8.7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8.7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8.7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8.7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8.7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8.7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8.7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8.7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8.7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8.7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8.7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8.7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8.7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8.7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8.7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8.7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8.7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8.7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8.7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8.7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8.7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8.7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8.7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8.7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8.7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8.7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8.7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8.7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8.7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8.7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8.7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8.7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8.7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8.7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8.7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8.7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8.7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8.7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8.7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8.7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8.7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8.7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8.7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8.7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8.7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8.7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8.7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8.7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8.7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8.7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8.7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8.7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8.7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8.7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8.7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8.7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8.7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8.7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8.7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8.7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8.7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8.7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8.7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8.7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8.7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8.7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8.7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8.7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8.7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8.7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8.7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8.7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8.7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8.7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8.7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8.7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8.7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8.7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8.7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8.7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8.7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8.7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8.7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8.7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8.7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8.7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8.7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8.7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8.7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8.7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8.7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8.7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8.7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8.7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8.7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8.7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8.7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8.7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8.7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8.7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8.7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8.7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8.7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8.7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8.7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8.7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8.7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8.7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8.7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8.7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8.7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8.7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8.7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8.7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8.7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8.7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8.7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8.7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8.7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8.7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8.7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8.7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8.7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8.7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8.7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8.7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8.7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8.7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8.7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8.7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8.7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8.7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8.7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8.7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8.7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8.7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8.7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8.7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8.7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8.7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8.7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8.7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8.7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8.7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8.7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8.7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8.7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8.7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8.7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8.7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8.7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8.7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8.7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8.7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8.7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8.7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8.7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8.7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8.7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8.7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8.7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8.7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8.7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8.7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8.7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8.7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8.7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8.7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8.7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8.7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8.7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8.7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8.7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8.7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8.7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8.7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8.7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8.7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8.7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8.7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8.7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8.7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8.7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8.7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8.7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8.7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8.7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8.7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8.7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8.7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8.7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8.7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8.7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8.7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8.7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8.7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8.7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8.7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8.7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8.7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8.7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8.7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8.7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8.7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8.7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8.7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8.7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8.7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8.7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8.7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8.7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8.7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8.7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8.7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8.7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8.7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8.7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8.7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8.7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8.7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8.7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8.7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8.7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8.7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8.7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8.7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8.7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8.7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8.7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8.7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8.7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8.7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8.7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8.7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8.7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8.7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8.7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8.7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8.7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8.7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8.7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8.7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8.7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8.7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8.7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8.7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8.7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8.7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8.7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8.7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8.7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8.7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8.7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8.7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8.7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8.7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8.7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8.7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8.7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8.7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8.7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8.7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8.7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8.7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8.7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8.7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8.7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8.7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8.7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8.7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8.7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8.7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8.7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8.7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8.7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8.7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8.7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8.7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8.7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8.7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8.7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8.7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8.7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8.7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8.7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8.7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8.7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8.7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8.7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8.7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8.7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8.7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8.7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8.7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8.7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8.7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8.7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8.7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8.7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8.7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8.7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8.7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8.7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8.7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8.7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8.7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8.7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8.7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8.7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8.7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8.7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8.7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8.7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8.7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8.7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8.7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8.7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8.7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8.7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8.7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8.7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8.7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8.7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8.7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8.7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8.7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8.7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8.7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8.7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8.7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8.7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8.7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8.7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8.7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8.7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8.7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8.7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8.7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8.7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8.7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8.7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8.7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8.7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8.7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8.7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8.7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8.7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8.7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8.7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8.7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8.7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8.7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8.7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8.7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8.7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8.7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8.7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8.7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8.7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8.7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8.7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8.7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8.7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8.7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8.7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8.7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8.7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8.7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8.7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8.7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8.7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8.7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8.7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8.7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8.7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8.7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8.7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8.7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8.7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8.7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8.7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8.7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8.7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8.7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8.7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8.7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8.7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8.7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8.7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8.7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8.7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8.7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8.7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8.7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8.7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8.7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8.7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8.7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8.7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8.7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8.7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8.7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8.7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8.7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8.7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8.7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8.7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8.7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8.7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8.7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8.7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8.7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8.7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8.7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8.7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8.7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8.7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8.7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8.7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8.7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8.7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8.7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8.7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8.7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8.7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8.7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8.7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8.7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8.7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8.7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8.7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8.7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8.7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8.7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8.7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8.7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8.7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8.7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8.7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8.7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8.7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8.7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8.7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8.7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8.7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8.7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8.7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8.7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8.7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8.7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8.7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8.7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8.7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8.7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8.7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8.7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8.7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8.7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8.7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8.7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8.7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8.7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8.7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8.7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8.7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8.7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8.7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8.7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8.7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8.7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8.7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8.7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8.7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8.7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8.7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8.7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8.7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8.7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8.7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8.7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8.7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8.7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8.7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8.7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8.7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8.7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8.7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8.7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8.7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8.7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8.7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8.7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8.7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8.7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8.7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8.7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8.7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8.7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8.7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8.7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8.7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8.7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8.7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8.7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8.7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8.7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8.7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8.7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8.7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8.7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8.7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8.7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8.7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8.7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8.7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8.7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8.7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8.7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8.7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8.7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8.7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8.7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8.7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8.7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8.7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8.7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8.7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8.7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8.7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8.7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8.7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8.7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8.7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8.7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8.7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8.7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8.7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8.7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8.7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8.7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8.7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8.7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8.7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8.7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8.7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8.7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8.7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8.7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8.7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8.7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8.7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8.7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8.7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8.7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8.7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8.7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8.7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8.7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8.7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8.7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8.7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8.7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8.7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8.7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8.7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8.7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8.7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8.7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8.7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8.7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8.7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8.7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8.7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8.7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8.7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8.7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8.7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8.7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8.7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8.7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8.7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8.7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8.7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8.7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8.7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8.7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8.7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8.7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8.7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8.7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8.7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8.7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8.7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8.7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8.7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8.7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8.7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8.7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8.7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8.7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8.7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8.7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8.7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8.7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8.7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8.7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8.7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8.7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8.7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8.7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8.7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8.7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8.7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8.7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8.7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8.7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8.7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8.7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8.7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8.7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8.7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8.7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8.7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8.7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8.7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8.7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8.7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8.7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8.7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8.7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8.7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8.7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8.7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8.7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8.7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8.7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8.7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8.7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8.7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8.7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8.7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8.7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8.7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8.7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8.7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8.7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8.7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8.7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8.7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8.7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8.7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8.7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8.7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8.7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8.7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8.7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8.7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8.7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8.7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8.7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8.7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8.7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8.7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8.7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8.7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8.7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8.7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8.7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8.7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8.7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8.7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8.7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8.7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8.7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8.7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8.7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8.7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8.7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8.7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8.7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8.7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8.7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8.7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8.7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8.7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8.7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8.7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8.7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8.7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8.7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8.7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8.7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8.7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8.7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8.7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8.75" hidden="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8.75" hidden="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8.75" hidden="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8.75" hidden="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8.75" hidden="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8.75" hidden="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8.75" hidden="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8.75" hidden="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8.75" hidden="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8.75" hidden="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8.75" hidden="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8.75" hidden="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8.75" hidden="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8.75" hidden="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8.75" hidden="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8.75" hidden="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8.75" hidden="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8.75" hidden="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8.75" hidden="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8.75" hidden="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</sheetData>
  <mergeCells count="154">
    <mergeCell ref="E13:G13"/>
    <mergeCell ref="E14:G14"/>
    <mergeCell ref="H14:I14"/>
    <mergeCell ref="J14:M14"/>
    <mergeCell ref="N14:P14"/>
    <mergeCell ref="E16:G16"/>
    <mergeCell ref="M16:P16"/>
    <mergeCell ref="I16:K16"/>
    <mergeCell ref="I17:K17"/>
    <mergeCell ref="M17:P17"/>
    <mergeCell ref="B19:P19"/>
    <mergeCell ref="B21:C21"/>
    <mergeCell ref="L21:M21"/>
    <mergeCell ref="N21:P21"/>
    <mergeCell ref="K2:L2"/>
    <mergeCell ref="M2:P2"/>
    <mergeCell ref="D3:I3"/>
    <mergeCell ref="K3:L3"/>
    <mergeCell ref="M3:P3"/>
    <mergeCell ref="K4:L4"/>
    <mergeCell ref="M4:P4"/>
    <mergeCell ref="K7:L7"/>
    <mergeCell ref="M7:P7"/>
    <mergeCell ref="K6:L6"/>
    <mergeCell ref="K8:L8"/>
    <mergeCell ref="D4:J4"/>
    <mergeCell ref="D5:J5"/>
    <mergeCell ref="K5:P5"/>
    <mergeCell ref="C6:C7"/>
    <mergeCell ref="M6:P6"/>
    <mergeCell ref="F7:G7"/>
    <mergeCell ref="M8:P8"/>
    <mergeCell ref="B8:C8"/>
    <mergeCell ref="B10:I10"/>
    <mergeCell ref="J10:M10"/>
    <mergeCell ref="N10:P10"/>
    <mergeCell ref="E11:I11"/>
    <mergeCell ref="J11:M11"/>
    <mergeCell ref="N11:P11"/>
    <mergeCell ref="E12:G12"/>
    <mergeCell ref="H12:I12"/>
    <mergeCell ref="J12:M12"/>
    <mergeCell ref="N12:P12"/>
    <mergeCell ref="H13:I13"/>
    <mergeCell ref="J13:M13"/>
    <mergeCell ref="N13:P13"/>
    <mergeCell ref="L24:M24"/>
    <mergeCell ref="N24:P24"/>
    <mergeCell ref="B26:C26"/>
    <mergeCell ref="E26:G26"/>
    <mergeCell ref="B27:C27"/>
    <mergeCell ref="D27:J27"/>
    <mergeCell ref="B29:K29"/>
    <mergeCell ref="B30:C30"/>
    <mergeCell ref="B31:C31"/>
    <mergeCell ref="L26:M26"/>
    <mergeCell ref="N26:P26"/>
    <mergeCell ref="L27:M27"/>
    <mergeCell ref="N27:P27"/>
    <mergeCell ref="N29:P29"/>
    <mergeCell ref="N30:P30"/>
    <mergeCell ref="N31:P31"/>
    <mergeCell ref="E36:G36"/>
    <mergeCell ref="E37:G37"/>
    <mergeCell ref="B38:C38"/>
    <mergeCell ref="E38:G38"/>
    <mergeCell ref="B39:C39"/>
    <mergeCell ref="E39:G39"/>
    <mergeCell ref="B40:C40"/>
    <mergeCell ref="B32:C32"/>
    <mergeCell ref="E32:G32"/>
    <mergeCell ref="B33:C33"/>
    <mergeCell ref="E33:G33"/>
    <mergeCell ref="B34:C34"/>
    <mergeCell ref="E34:G34"/>
    <mergeCell ref="E35:G35"/>
    <mergeCell ref="N32:P32"/>
    <mergeCell ref="N33:P33"/>
    <mergeCell ref="N34:P34"/>
    <mergeCell ref="N35:P35"/>
    <mergeCell ref="N36:P36"/>
    <mergeCell ref="N37:P37"/>
    <mergeCell ref="N38:P38"/>
    <mergeCell ref="N48:P48"/>
    <mergeCell ref="N49:P49"/>
    <mergeCell ref="N50:P50"/>
    <mergeCell ref="N39:P39"/>
    <mergeCell ref="N40:P40"/>
    <mergeCell ref="N43:P43"/>
    <mergeCell ref="N44:P44"/>
    <mergeCell ref="N45:P45"/>
    <mergeCell ref="N46:P46"/>
    <mergeCell ref="N47:P47"/>
    <mergeCell ref="L36:M36"/>
    <mergeCell ref="L37:M37"/>
    <mergeCell ref="L38:M38"/>
    <mergeCell ref="L39:M39"/>
    <mergeCell ref="D40:J40"/>
    <mergeCell ref="L40:M40"/>
    <mergeCell ref="B42:K42"/>
    <mergeCell ref="L44:M44"/>
    <mergeCell ref="L45:M45"/>
    <mergeCell ref="L47:M47"/>
    <mergeCell ref="L48:M48"/>
    <mergeCell ref="L49:M49"/>
    <mergeCell ref="L50:M50"/>
    <mergeCell ref="B46:C46"/>
    <mergeCell ref="B47:C47"/>
    <mergeCell ref="B48:C48"/>
    <mergeCell ref="B49:C49"/>
    <mergeCell ref="B50:C50"/>
    <mergeCell ref="B52:F52"/>
    <mergeCell ref="B53:F53"/>
    <mergeCell ref="B43:C43"/>
    <mergeCell ref="E43:G43"/>
    <mergeCell ref="L43:M43"/>
    <mergeCell ref="B44:C44"/>
    <mergeCell ref="E44:G44"/>
    <mergeCell ref="B45:C45"/>
    <mergeCell ref="L46:M46"/>
    <mergeCell ref="G54:P54"/>
    <mergeCell ref="C55:K55"/>
    <mergeCell ref="E45:G45"/>
    <mergeCell ref="E46:G46"/>
    <mergeCell ref="E47:G47"/>
    <mergeCell ref="E48:G48"/>
    <mergeCell ref="E49:G49"/>
    <mergeCell ref="D50:J50"/>
    <mergeCell ref="G53:P53"/>
    <mergeCell ref="E24:G24"/>
    <mergeCell ref="E25:G25"/>
    <mergeCell ref="L25:M25"/>
    <mergeCell ref="N25:P25"/>
    <mergeCell ref="E21:G21"/>
    <mergeCell ref="B23:K23"/>
    <mergeCell ref="L23:M23"/>
    <mergeCell ref="N23:P23"/>
    <mergeCell ref="B24:C24"/>
    <mergeCell ref="D24:D26"/>
    <mergeCell ref="B25:C25"/>
    <mergeCell ref="E30:G30"/>
    <mergeCell ref="E31:G31"/>
    <mergeCell ref="B35:C35"/>
    <mergeCell ref="B36:C36"/>
    <mergeCell ref="B37:C37"/>
    <mergeCell ref="L29:M29"/>
    <mergeCell ref="L30:M30"/>
    <mergeCell ref="L31:M31"/>
    <mergeCell ref="L32:M32"/>
    <mergeCell ref="L33:M33"/>
    <mergeCell ref="L34:M34"/>
    <mergeCell ref="L35:M35"/>
    <mergeCell ref="L42:M42"/>
    <mergeCell ref="N42:P42"/>
  </mergeCells>
  <printOptions gridLines="1" horizontalCentered="1"/>
  <pageMargins bottom="0.39370078740157477" footer="0.0" header="0.0" left="0.39370078740157477" right="0.39370078740157477" top="0.31496062992125984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.38"/>
    <col customWidth="1" min="3" max="3" width="3.88"/>
    <col customWidth="1" min="4" max="6" width="12.63"/>
    <col customWidth="1" min="7" max="7" width="6.38"/>
    <col customWidth="1" min="8" max="10" width="12.63"/>
    <col customWidth="1" min="11" max="11" width="6.38"/>
    <col customWidth="1" min="12" max="12" width="12.63"/>
    <col customWidth="1" min="13" max="13" width="11.38"/>
    <col customWidth="1" min="14" max="14" width="9.5"/>
    <col customWidth="1" min="15" max="15" width="8.25"/>
    <col customWidth="1" min="16" max="16" width="1.38"/>
    <col customWidth="1" min="17" max="17" width="2.63"/>
    <col hidden="1" min="18" max="29" width="12.63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2"/>
      <c r="C2" s="3" t="s">
        <v>82</v>
      </c>
      <c r="D2" s="3"/>
      <c r="E2" s="3"/>
      <c r="F2" s="3"/>
      <c r="G2" s="3"/>
      <c r="H2" s="3"/>
      <c r="I2" s="3"/>
      <c r="J2" s="4"/>
      <c r="K2" s="5" t="s">
        <v>1</v>
      </c>
      <c r="L2" s="6"/>
      <c r="M2" s="7" t="s">
        <v>2</v>
      </c>
      <c r="N2" s="8"/>
      <c r="O2" s="8"/>
      <c r="P2" s="9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0"/>
      <c r="C3" s="11"/>
      <c r="D3" s="12" t="s">
        <v>83</v>
      </c>
      <c r="J3" s="13"/>
      <c r="K3" s="14" t="s">
        <v>4</v>
      </c>
      <c r="L3" s="15"/>
      <c r="M3" s="16" t="s">
        <v>5</v>
      </c>
      <c r="N3" s="17"/>
      <c r="O3" s="17"/>
      <c r="P3" s="1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8.75" customHeight="1">
      <c r="A4" s="1"/>
      <c r="B4" s="10"/>
      <c r="C4" s="19"/>
      <c r="D4" s="20" t="s">
        <v>6</v>
      </c>
      <c r="J4" s="21"/>
      <c r="K4" s="14" t="s">
        <v>7</v>
      </c>
      <c r="L4" s="15"/>
      <c r="M4" s="22" t="s">
        <v>8</v>
      </c>
      <c r="N4" s="17"/>
      <c r="O4" s="17"/>
      <c r="P4" s="1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6.0" customHeight="1">
      <c r="A5" s="1"/>
      <c r="B5" s="10"/>
      <c r="C5" s="19"/>
      <c r="D5" s="23"/>
      <c r="J5" s="21"/>
      <c r="K5" s="24"/>
      <c r="L5" s="17"/>
      <c r="M5" s="17"/>
      <c r="N5" s="17"/>
      <c r="O5" s="17"/>
      <c r="P5" s="18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8.75" customHeight="1">
      <c r="A6" s="1"/>
      <c r="B6" s="10"/>
      <c r="C6" s="19"/>
      <c r="D6" s="25" t="s">
        <v>9</v>
      </c>
      <c r="E6" s="26">
        <f>TODAY()</f>
        <v>45870</v>
      </c>
      <c r="F6" s="27"/>
      <c r="G6" s="28"/>
      <c r="H6" s="29"/>
      <c r="I6" s="29"/>
      <c r="J6" s="30"/>
      <c r="K6" s="14" t="s">
        <v>10</v>
      </c>
      <c r="L6" s="15"/>
      <c r="M6" s="22" t="s">
        <v>84</v>
      </c>
      <c r="N6" s="17"/>
      <c r="O6" s="17"/>
      <c r="P6" s="18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8.75" customHeight="1">
      <c r="A7" s="1"/>
      <c r="B7" s="10"/>
      <c r="D7" s="25" t="s">
        <v>12</v>
      </c>
      <c r="E7" s="26">
        <f>(E6+F7-1)</f>
        <v>45899</v>
      </c>
      <c r="F7" s="31">
        <v>30.0</v>
      </c>
      <c r="H7" s="32"/>
      <c r="I7" s="32"/>
      <c r="J7" s="30"/>
      <c r="K7" s="14" t="s">
        <v>13</v>
      </c>
      <c r="L7" s="15"/>
      <c r="M7" s="22" t="s">
        <v>14</v>
      </c>
      <c r="N7" s="17"/>
      <c r="O7" s="17"/>
      <c r="P7" s="18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8.75" customHeight="1">
      <c r="A8" s="1"/>
      <c r="B8" s="33"/>
      <c r="C8" s="34"/>
      <c r="D8" s="35"/>
      <c r="E8" s="35"/>
      <c r="F8" s="35"/>
      <c r="G8" s="35"/>
      <c r="H8" s="35"/>
      <c r="I8" s="35"/>
      <c r="J8" s="36"/>
      <c r="K8" s="37" t="s">
        <v>15</v>
      </c>
      <c r="L8" s="38"/>
      <c r="M8" s="39" t="s">
        <v>16</v>
      </c>
      <c r="N8" s="40"/>
      <c r="O8" s="40"/>
      <c r="P8" s="4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30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30.0" customHeight="1">
      <c r="A10" s="1"/>
      <c r="B10" s="42" t="s">
        <v>17</v>
      </c>
      <c r="C10" s="43"/>
      <c r="D10" s="43"/>
      <c r="E10" s="43"/>
      <c r="F10" s="43"/>
      <c r="G10" s="43"/>
      <c r="H10" s="43"/>
      <c r="I10" s="44"/>
      <c r="J10" s="45">
        <f>sum(J11:J13)-J14</f>
        <v>370000000</v>
      </c>
      <c r="K10" s="43"/>
      <c r="L10" s="43"/>
      <c r="M10" s="46"/>
      <c r="N10" s="45">
        <f t="shared" ref="N10:N14" si="1">J10*10%</f>
        <v>37000000</v>
      </c>
      <c r="O10" s="43"/>
      <c r="P10" s="44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22.5" customHeight="1">
      <c r="A11" s="1"/>
      <c r="B11" s="47"/>
      <c r="C11" s="47"/>
      <c r="D11" s="48"/>
      <c r="E11" s="49" t="s">
        <v>18</v>
      </c>
      <c r="F11" s="50"/>
      <c r="G11" s="50"/>
      <c r="H11" s="50"/>
      <c r="I11" s="51"/>
      <c r="J11" s="52">
        <f>sum(L30)</f>
        <v>254100000</v>
      </c>
      <c r="K11" s="50"/>
      <c r="L11" s="50"/>
      <c r="M11" s="53"/>
      <c r="N11" s="52">
        <f t="shared" si="1"/>
        <v>25410000</v>
      </c>
      <c r="O11" s="50"/>
      <c r="P11" s="5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22.5" customHeight="1">
      <c r="A12" s="1"/>
      <c r="B12" s="47"/>
      <c r="C12" s="47"/>
      <c r="D12" s="48"/>
      <c r="E12" s="49" t="s">
        <v>19</v>
      </c>
      <c r="F12" s="50"/>
      <c r="G12" s="53"/>
      <c r="H12" s="55">
        <v>0.25</v>
      </c>
      <c r="I12" s="51"/>
      <c r="J12" s="52">
        <f>J11*H12</f>
        <v>63525000</v>
      </c>
      <c r="K12" s="50"/>
      <c r="L12" s="50"/>
      <c r="M12" s="53"/>
      <c r="N12" s="52">
        <f t="shared" si="1"/>
        <v>6352500</v>
      </c>
      <c r="O12" s="50"/>
      <c r="P12" s="54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22.5" customHeight="1">
      <c r="A13" s="1"/>
      <c r="B13" s="47"/>
      <c r="C13" s="47"/>
      <c r="D13" s="48"/>
      <c r="E13" s="56" t="s">
        <v>20</v>
      </c>
      <c r="G13" s="57"/>
      <c r="H13" s="58">
        <v>0.2</v>
      </c>
      <c r="I13" s="21"/>
      <c r="J13" s="59">
        <f>SUM(J11:J12)*H13</f>
        <v>63525000</v>
      </c>
      <c r="M13" s="57"/>
      <c r="N13" s="59">
        <f t="shared" si="1"/>
        <v>6352500</v>
      </c>
      <c r="P13" s="60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22.5" customHeight="1">
      <c r="A14" s="1"/>
      <c r="B14" s="47"/>
      <c r="C14" s="47"/>
      <c r="D14" s="48"/>
      <c r="E14" s="61" t="s">
        <v>21</v>
      </c>
      <c r="F14" s="62"/>
      <c r="G14" s="63"/>
      <c r="H14" s="64"/>
      <c r="I14" s="65"/>
      <c r="J14" s="66">
        <v>1.115E7</v>
      </c>
      <c r="K14" s="62"/>
      <c r="L14" s="62"/>
      <c r="M14" s="63"/>
      <c r="N14" s="66">
        <f t="shared" si="1"/>
        <v>1115000</v>
      </c>
      <c r="O14" s="62"/>
      <c r="P14" s="67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1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26.25" customHeight="1">
      <c r="A16" s="1"/>
      <c r="B16" s="47"/>
      <c r="C16" s="47"/>
      <c r="D16" s="47"/>
      <c r="E16" s="68" t="s">
        <v>22</v>
      </c>
      <c r="F16" s="43"/>
      <c r="G16" s="44"/>
      <c r="H16" s="69" t="s">
        <v>23</v>
      </c>
      <c r="I16" s="70" t="s">
        <v>24</v>
      </c>
      <c r="J16" s="43"/>
      <c r="K16" s="43"/>
      <c r="L16" s="69" t="s">
        <v>25</v>
      </c>
      <c r="M16" s="71" t="s">
        <v>26</v>
      </c>
      <c r="N16" s="43"/>
      <c r="O16" s="43"/>
      <c r="P16" s="44"/>
      <c r="Q16" s="1"/>
      <c r="R16" s="72"/>
      <c r="S16" s="72"/>
      <c r="T16" s="73"/>
      <c r="U16" s="1"/>
      <c r="V16" s="1"/>
      <c r="W16" s="1"/>
      <c r="X16" s="1"/>
      <c r="Y16" s="1"/>
      <c r="Z16" s="1"/>
      <c r="AA16" s="1"/>
      <c r="AB16" s="1"/>
      <c r="AC16" s="1"/>
    </row>
    <row r="17" ht="26.25" customHeight="1">
      <c r="A17" s="1"/>
      <c r="B17" s="47"/>
      <c r="C17" s="47"/>
      <c r="D17" s="47"/>
      <c r="E17" s="47"/>
      <c r="F17" s="47"/>
      <c r="G17" s="47"/>
      <c r="H17" s="69" t="s">
        <v>27</v>
      </c>
      <c r="I17" s="70" t="s">
        <v>28</v>
      </c>
      <c r="J17" s="43"/>
      <c r="K17" s="43"/>
      <c r="L17" s="69" t="s">
        <v>29</v>
      </c>
      <c r="M17" s="71" t="s">
        <v>30</v>
      </c>
      <c r="N17" s="43"/>
      <c r="O17" s="43"/>
      <c r="P17" s="44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30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31.5" customHeight="1">
      <c r="A19" s="1"/>
      <c r="B19" s="74" t="s">
        <v>31</v>
      </c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7.5" customHeight="1">
      <c r="A20" s="1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22.5" customHeight="1">
      <c r="A21" s="1"/>
      <c r="B21" s="77" t="s">
        <v>32</v>
      </c>
      <c r="C21" s="78"/>
      <c r="D21" s="79" t="s">
        <v>33</v>
      </c>
      <c r="E21" s="79" t="s">
        <v>34</v>
      </c>
      <c r="F21" s="43"/>
      <c r="G21" s="78"/>
      <c r="H21" s="80" t="s">
        <v>35</v>
      </c>
      <c r="I21" s="81" t="s">
        <v>36</v>
      </c>
      <c r="J21" s="81" t="s">
        <v>37</v>
      </c>
      <c r="K21" s="80" t="s">
        <v>85</v>
      </c>
      <c r="L21" s="79" t="s">
        <v>39</v>
      </c>
      <c r="M21" s="78"/>
      <c r="N21" s="79" t="s">
        <v>40</v>
      </c>
      <c r="O21" s="43"/>
      <c r="P21" s="44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36.0" customHeight="1">
      <c r="A22" s="82"/>
      <c r="B22" s="111">
        <v>1.0</v>
      </c>
      <c r="C22" s="112"/>
      <c r="D22" s="113" t="s">
        <v>86</v>
      </c>
      <c r="E22" s="114" t="s">
        <v>87</v>
      </c>
      <c r="F22" s="50"/>
      <c r="G22" s="53"/>
      <c r="H22" s="115">
        <v>45778.0</v>
      </c>
      <c r="I22" s="153">
        <v>45900.0</v>
      </c>
      <c r="J22" s="154">
        <v>1.5E7</v>
      </c>
      <c r="K22" s="118">
        <v>0.4</v>
      </c>
      <c r="L22" s="155">
        <f t="shared" ref="L22:L29" si="2">(I22 - H22)*J22*K22/30</f>
        <v>24400000</v>
      </c>
      <c r="M22" s="15"/>
      <c r="N22" s="119">
        <f t="shared" ref="N22:N30" si="3">L22*10%</f>
        <v>2440000</v>
      </c>
      <c r="O22" s="8"/>
      <c r="P22" s="9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</row>
    <row r="23" ht="47.25" customHeight="1">
      <c r="A23" s="82"/>
      <c r="B23" s="121">
        <f t="shared" ref="B23:B29" si="4">B22+1</f>
        <v>2</v>
      </c>
      <c r="C23" s="122"/>
      <c r="D23" s="123" t="s">
        <v>88</v>
      </c>
      <c r="E23" s="114" t="s">
        <v>89</v>
      </c>
      <c r="F23" s="50"/>
      <c r="G23" s="53"/>
      <c r="H23" s="115">
        <v>45778.0</v>
      </c>
      <c r="I23" s="153">
        <v>45808.0</v>
      </c>
      <c r="J23" s="154">
        <v>7500000.0</v>
      </c>
      <c r="K23" s="125">
        <v>1.0</v>
      </c>
      <c r="L23" s="155">
        <f t="shared" si="2"/>
        <v>7500000</v>
      </c>
      <c r="M23" s="15"/>
      <c r="N23" s="126">
        <f t="shared" si="3"/>
        <v>750000</v>
      </c>
      <c r="O23" s="17"/>
      <c r="P23" s="18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</row>
    <row r="24" ht="43.5" customHeight="1">
      <c r="A24" s="82"/>
      <c r="B24" s="121">
        <f t="shared" si="4"/>
        <v>3</v>
      </c>
      <c r="C24" s="122"/>
      <c r="D24" s="123" t="s">
        <v>90</v>
      </c>
      <c r="E24" s="127" t="s">
        <v>91</v>
      </c>
      <c r="F24" s="17"/>
      <c r="G24" s="15"/>
      <c r="H24" s="115">
        <v>45778.0</v>
      </c>
      <c r="I24" s="153">
        <v>45838.0</v>
      </c>
      <c r="J24" s="154">
        <v>7500000.0</v>
      </c>
      <c r="K24" s="125">
        <v>1.0</v>
      </c>
      <c r="L24" s="155">
        <f t="shared" si="2"/>
        <v>15000000</v>
      </c>
      <c r="M24" s="15"/>
      <c r="N24" s="126">
        <f t="shared" si="3"/>
        <v>1500000</v>
      </c>
      <c r="O24" s="17"/>
      <c r="P24" s="18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</row>
    <row r="25" ht="36.0" customHeight="1">
      <c r="A25" s="82"/>
      <c r="B25" s="121">
        <f t="shared" si="4"/>
        <v>4</v>
      </c>
      <c r="C25" s="122"/>
      <c r="D25" s="123" t="s">
        <v>92</v>
      </c>
      <c r="E25" s="127" t="s">
        <v>93</v>
      </c>
      <c r="F25" s="17"/>
      <c r="G25" s="15"/>
      <c r="H25" s="115">
        <v>45809.0</v>
      </c>
      <c r="I25" s="153">
        <v>45869.0</v>
      </c>
      <c r="J25" s="154">
        <v>6000000.0</v>
      </c>
      <c r="K25" s="125">
        <v>1.0</v>
      </c>
      <c r="L25" s="155">
        <f t="shared" si="2"/>
        <v>12000000</v>
      </c>
      <c r="M25" s="15"/>
      <c r="N25" s="126">
        <f t="shared" si="3"/>
        <v>1200000</v>
      </c>
      <c r="O25" s="17"/>
      <c r="P25" s="18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</row>
    <row r="26" ht="36.0" customHeight="1">
      <c r="A26" s="82"/>
      <c r="B26" s="121">
        <f t="shared" si="4"/>
        <v>5</v>
      </c>
      <c r="C26" s="122"/>
      <c r="D26" s="123" t="s">
        <v>94</v>
      </c>
      <c r="E26" s="156" t="s">
        <v>95</v>
      </c>
      <c r="F26" s="100"/>
      <c r="G26" s="101"/>
      <c r="H26" s="115">
        <v>45778.0</v>
      </c>
      <c r="I26" s="153">
        <v>45900.0</v>
      </c>
      <c r="J26" s="154">
        <v>1.5E7</v>
      </c>
      <c r="K26" s="125">
        <v>1.0</v>
      </c>
      <c r="L26" s="155">
        <f t="shared" si="2"/>
        <v>61000000</v>
      </c>
      <c r="M26" s="15"/>
      <c r="N26" s="126">
        <f t="shared" si="3"/>
        <v>6100000</v>
      </c>
      <c r="O26" s="17"/>
      <c r="P26" s="18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</row>
    <row r="27" ht="36.0" customHeight="1">
      <c r="A27" s="82"/>
      <c r="B27" s="121">
        <f t="shared" si="4"/>
        <v>6</v>
      </c>
      <c r="C27" s="122"/>
      <c r="D27" s="123" t="s">
        <v>96</v>
      </c>
      <c r="E27" s="129" t="s">
        <v>97</v>
      </c>
      <c r="F27" s="17"/>
      <c r="G27" s="15"/>
      <c r="H27" s="115">
        <v>45778.0</v>
      </c>
      <c r="I27" s="153">
        <v>45900.0</v>
      </c>
      <c r="J27" s="154">
        <v>9000000.0</v>
      </c>
      <c r="K27" s="125">
        <v>1.0</v>
      </c>
      <c r="L27" s="155">
        <f t="shared" si="2"/>
        <v>36600000</v>
      </c>
      <c r="M27" s="15"/>
      <c r="N27" s="126">
        <f t="shared" si="3"/>
        <v>3660000</v>
      </c>
      <c r="O27" s="17"/>
      <c r="P27" s="18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</row>
    <row r="28" ht="36.0" customHeight="1">
      <c r="A28" s="82"/>
      <c r="B28" s="121">
        <f t="shared" si="4"/>
        <v>7</v>
      </c>
      <c r="C28" s="122"/>
      <c r="D28" s="123" t="s">
        <v>98</v>
      </c>
      <c r="E28" s="129" t="s">
        <v>99</v>
      </c>
      <c r="F28" s="17"/>
      <c r="G28" s="15"/>
      <c r="H28" s="115">
        <v>45778.0</v>
      </c>
      <c r="I28" s="153">
        <v>45900.0</v>
      </c>
      <c r="J28" s="154">
        <v>1.5E7</v>
      </c>
      <c r="K28" s="125">
        <v>1.0</v>
      </c>
      <c r="L28" s="155">
        <f t="shared" si="2"/>
        <v>61000000</v>
      </c>
      <c r="M28" s="15"/>
      <c r="N28" s="126">
        <f t="shared" si="3"/>
        <v>6100000</v>
      </c>
      <c r="O28" s="17"/>
      <c r="P28" s="18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</row>
    <row r="29" ht="36.0" customHeight="1">
      <c r="A29" s="82"/>
      <c r="B29" s="121">
        <f t="shared" si="4"/>
        <v>8</v>
      </c>
      <c r="C29" s="122"/>
      <c r="D29" s="123" t="s">
        <v>100</v>
      </c>
      <c r="E29" s="129" t="s">
        <v>101</v>
      </c>
      <c r="F29" s="17"/>
      <c r="G29" s="15"/>
      <c r="H29" s="115">
        <v>45778.0</v>
      </c>
      <c r="I29" s="153">
        <v>45900.0</v>
      </c>
      <c r="J29" s="154">
        <v>9000000.0</v>
      </c>
      <c r="K29" s="125">
        <v>1.0</v>
      </c>
      <c r="L29" s="155">
        <f t="shared" si="2"/>
        <v>36600000</v>
      </c>
      <c r="M29" s="15"/>
      <c r="N29" s="157">
        <f t="shared" si="3"/>
        <v>3660000</v>
      </c>
      <c r="O29" s="100"/>
      <c r="P29" s="158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</row>
    <row r="30" ht="26.25" customHeight="1">
      <c r="A30" s="82"/>
      <c r="B30" s="105"/>
      <c r="C30" s="65"/>
      <c r="D30" s="131" t="s">
        <v>46</v>
      </c>
      <c r="E30" s="62"/>
      <c r="F30" s="62"/>
      <c r="G30" s="62"/>
      <c r="H30" s="62"/>
      <c r="I30" s="62"/>
      <c r="J30" s="65"/>
      <c r="K30" s="132">
        <f>SUM(K22:K29)</f>
        <v>7.4</v>
      </c>
      <c r="L30" s="109">
        <f>sum(L22:L29)</f>
        <v>254100000</v>
      </c>
      <c r="M30" s="63"/>
      <c r="N30" s="109">
        <f t="shared" si="3"/>
        <v>25410000</v>
      </c>
      <c r="O30" s="62"/>
      <c r="P30" s="67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</row>
    <row r="31" ht="30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7.5" customHeight="1">
      <c r="A32" s="1"/>
      <c r="B32" s="74"/>
      <c r="C32" s="75"/>
      <c r="D32" s="75"/>
      <c r="E32" s="75"/>
      <c r="F32" s="7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9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46"/>
      <c r="B33" s="147" t="s">
        <v>79</v>
      </c>
      <c r="G33" s="148" t="s">
        <v>80</v>
      </c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</row>
    <row r="34" ht="15.0" customHeight="1">
      <c r="A34" s="1"/>
      <c r="B34" s="1"/>
      <c r="C34" s="1"/>
      <c r="D34" s="1"/>
      <c r="E34" s="1"/>
      <c r="F34" s="1"/>
      <c r="G34" s="149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45.0" customHeight="1">
      <c r="A35" s="150"/>
      <c r="B35" s="150"/>
      <c r="C35" s="151" t="s">
        <v>81</v>
      </c>
      <c r="D35" s="100"/>
      <c r="E35" s="100"/>
      <c r="F35" s="100"/>
      <c r="G35" s="100"/>
      <c r="H35" s="100"/>
      <c r="I35" s="100"/>
      <c r="J35" s="100"/>
      <c r="K35" s="10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</row>
    <row r="36" ht="7.5" customHeight="1">
      <c r="A36" s="1"/>
      <c r="B36" s="1"/>
      <c r="C36" s="152"/>
      <c r="D36" s="152"/>
      <c r="E36" s="152"/>
      <c r="F36" s="152"/>
      <c r="G36" s="152"/>
      <c r="H36" s="152"/>
      <c r="I36" s="152"/>
      <c r="J36" s="152"/>
      <c r="K36" s="15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8.75" hidden="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8.75" hidden="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8.75" hidden="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8.75" hidden="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8.75" hidden="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8.75" hidden="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8.75" hidden="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8.75" hidden="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8.75" hidden="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8.75" hidden="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8.75" hidden="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8.75" hidden="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8.75" hidden="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8.75" hidden="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8.75" hidden="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8.75" hidden="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8.7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8.75" hidden="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8.75" hidden="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8.75" hidden="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8.75" hidden="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8.75" hidden="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8.75" hidden="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8.75" hidden="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8.75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8.75" hidden="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8.75" hidden="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8.75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8.7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8.7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8.7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8.7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8.75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8.7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8.7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8.7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8.75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8.75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8.7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8.7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8.7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8.7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8.7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8.75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8.7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8.7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8.7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8.7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8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8.7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8.7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8.7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8.7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8.7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8.7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8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8.7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8.7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8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8.7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8.7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8.7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8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8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8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8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8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8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8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8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8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8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8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8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8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8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8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8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8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8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8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8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8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8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8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8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8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8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8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8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8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8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8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8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8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8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8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8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8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8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8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8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8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8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8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8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8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8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8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8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8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8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8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8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8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8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8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8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8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8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8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8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8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8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8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8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8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8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8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8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8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8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8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8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8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8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8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8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8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8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8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8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8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8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8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8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8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8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8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8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8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8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8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8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8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8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8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8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8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8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8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8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8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8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8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8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8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8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8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8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8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8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8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8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8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8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8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8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8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8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8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8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8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8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8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8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8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8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8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8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8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8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8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8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8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8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8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8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8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8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8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8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8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8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8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8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8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8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8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8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8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8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8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8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8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8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8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8.7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8.7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8.7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8.7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8.7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8.7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8.7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8.7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8.7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8.7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8.7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8.7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8.7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8.7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8.7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8.7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8.7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8.7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8.7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8.7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8.7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8.7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8.7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8.7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8.7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8.7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8.7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8.7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8.7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8.7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8.7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8.7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8.7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8.7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8.7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8.7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8.7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8.7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8.7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8.7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8.7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8.7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8.7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8.7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8.7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8.7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8.7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8.7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8.7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8.7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8.7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8.7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8.7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8.7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8.7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8.7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8.7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8.7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8.7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8.7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8.7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8.7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8.7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8.7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8.7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8.7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8.7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8.7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8.7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8.7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8.7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8.7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8.7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8.7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8.7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8.7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8.7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8.7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8.7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8.7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8.7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8.7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8.7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8.7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8.7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8.7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8.7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8.7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8.7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8.7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8.7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8.7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8.7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8.7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8.7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8.7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8.7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8.7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8.7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8.7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8.7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8.7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8.7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8.7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8.7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8.7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8.7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8.7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8.7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8.7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8.7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8.7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8.7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8.7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8.7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8.7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8.7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8.7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8.7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8.7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8.7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8.7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8.7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8.7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8.7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8.7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8.7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8.7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8.7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8.7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8.7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8.7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8.7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8.7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8.7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8.7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8.7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8.7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8.7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8.7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8.7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8.7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8.7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8.7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8.7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8.7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8.7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8.7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8.7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8.7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8.7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8.7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8.7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8.7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8.7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8.7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8.7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8.7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8.7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8.7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8.7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8.7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8.7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8.7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8.7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8.7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8.7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8.7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8.7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8.7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8.7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8.7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8.7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8.7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8.7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8.7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8.7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8.7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8.7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8.7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8.7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8.7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8.7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8.7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8.7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8.7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8.7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8.7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8.7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8.7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8.7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8.7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8.7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8.7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8.7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8.7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8.7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8.7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8.7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8.7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8.7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8.7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8.7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8.7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8.7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8.7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8.7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8.7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8.7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8.7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8.7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8.7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8.7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8.7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8.7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8.7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8.7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8.7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8.7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8.7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8.7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8.7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8.7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8.7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8.7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8.7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8.7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8.7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8.7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8.7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8.7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8.7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8.7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8.7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8.7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8.7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8.7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8.7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8.7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8.7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8.7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8.7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8.7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8.7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8.7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8.7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8.7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8.7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8.7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8.7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8.7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8.7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8.7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8.7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8.7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8.7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8.7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8.7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8.7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8.7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8.7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8.7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8.7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8.7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8.7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8.7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8.7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8.7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8.7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8.7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8.7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8.7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8.7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8.7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8.7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8.7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8.7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8.7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8.7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8.7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8.7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8.7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8.7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8.7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8.7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8.7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8.7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8.7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8.7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8.7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8.7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8.7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8.7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8.7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8.7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8.7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8.7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8.7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8.7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8.7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8.7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8.7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8.7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8.7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8.7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8.7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8.7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8.7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8.7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8.7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8.7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8.7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8.7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8.7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8.7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8.7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8.7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8.7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8.7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8.7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8.7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8.7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8.7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8.7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8.7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8.7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8.7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8.7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8.7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8.7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8.7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8.7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8.7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8.7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8.7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8.7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8.7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8.7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8.7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8.7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8.7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8.7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8.7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8.7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8.7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8.7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8.7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8.7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8.7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8.7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8.7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8.7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8.7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8.7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8.7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8.7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8.7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8.7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8.7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8.7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8.7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8.7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8.7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8.7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8.7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8.7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8.7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8.7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8.7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8.7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8.7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8.7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8.7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8.7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8.7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8.7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8.7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8.7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8.7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8.7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8.7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8.7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8.7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8.7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8.7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8.7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8.7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8.7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8.7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8.7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8.7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8.7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8.7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8.7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8.7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8.7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8.7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8.7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8.7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8.7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8.7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8.7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8.7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8.7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8.7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8.7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8.7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8.7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8.7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8.7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8.7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8.7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8.7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8.7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8.7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8.7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8.7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8.7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8.7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8.7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8.7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8.7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8.7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8.7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8.7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8.7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8.7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8.7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8.7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8.7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8.7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8.7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8.7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8.7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8.7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8.7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8.7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8.7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8.7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8.7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8.7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8.7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8.7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8.7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8.7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8.7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8.7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8.7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8.7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8.7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8.7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8.7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8.7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8.7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8.7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8.7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8.7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8.7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8.7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8.7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8.7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8.7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8.7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8.7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8.7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8.7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8.7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8.7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8.7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8.7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8.7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8.7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8.7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8.7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8.7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8.7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8.7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8.7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8.7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8.7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8.7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8.7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8.7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8.7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8.7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8.7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8.7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8.7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8.7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8.7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8.7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8.7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8.7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8.7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8.7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8.7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8.7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8.7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8.7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8.7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8.7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8.7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8.7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8.7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8.7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8.7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8.7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8.7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8.7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8.7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8.7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8.7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8.7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8.7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8.7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8.7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8.7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8.7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8.7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8.7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8.7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8.7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8.7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8.7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8.7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8.7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8.7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8.7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8.7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8.7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8.7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8.7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8.7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8.7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8.7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8.7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8.7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8.7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8.7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8.7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8.7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8.7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8.7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8.7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8.7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8.7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8.7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8.7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8.7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8.7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8.7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8.7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8.7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8.7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8.7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8.7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8.7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8.7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8.7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8.7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8.7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8.7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8.7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8.7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8.7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8.7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8.7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8.7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8.7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8.7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8.7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8.7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8.7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8.7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8.7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8.7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8.7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8.7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8.7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8.7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8.7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8.7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8.7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8.7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8.7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8.7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8.7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8.7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8.7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8.7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8.7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8.7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8.7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8.7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8.7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8.7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8.7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8.7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8.7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8.7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8.7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8.7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8.7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8.7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8.7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8.7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8.7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8.7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8.7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8.7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8.7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8.7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8.7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8.7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8.7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8.7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8.7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8.7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8.7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8.7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8.7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8.7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8.7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8.7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8.7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8.7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8.7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8.7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8.7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8.7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8.7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8.7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8.7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8.7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8.7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8.7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8.7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8.7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8.7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8.7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8.7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8.7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8.7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8.7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8.7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8.7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8.7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8.7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8.7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8.7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8.7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8.7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8.7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8.7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8.7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8.7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8.7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8.7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8.7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8.7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8.7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8.7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8.7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8.7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8.7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8.7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8.7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8.7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8.7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8.7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8.7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8.7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8.7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8.7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8.7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8.7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8.7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8.7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8.7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8.7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8.7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8.7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8.7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8.7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8.7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8.7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8.7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8.7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8.7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8.7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8.7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8.7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8.7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8.7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8.7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8.7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8.7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8.7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8.7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8.7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8.7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8.7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8.7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8.7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8.7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8.7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8.7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8.7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8.7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8.7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8.7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8.7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8.7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8.7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8.7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8.7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8.7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8.7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8.7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8.7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8.7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8.7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8.7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8.7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8.7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8.7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</sheetData>
  <mergeCells count="88">
    <mergeCell ref="E13:G13"/>
    <mergeCell ref="E14:G14"/>
    <mergeCell ref="H14:I14"/>
    <mergeCell ref="J14:M14"/>
    <mergeCell ref="N14:P14"/>
    <mergeCell ref="E16:G16"/>
    <mergeCell ref="M16:P16"/>
    <mergeCell ref="I16:K16"/>
    <mergeCell ref="I17:K17"/>
    <mergeCell ref="M17:P17"/>
    <mergeCell ref="B19:P19"/>
    <mergeCell ref="E21:G21"/>
    <mergeCell ref="L21:M21"/>
    <mergeCell ref="N21:P21"/>
    <mergeCell ref="B21:C21"/>
    <mergeCell ref="B22:C22"/>
    <mergeCell ref="E22:G22"/>
    <mergeCell ref="L22:M22"/>
    <mergeCell ref="N22:P22"/>
    <mergeCell ref="B23:C23"/>
    <mergeCell ref="B24:C24"/>
    <mergeCell ref="B27:C27"/>
    <mergeCell ref="B28:C28"/>
    <mergeCell ref="B29:C29"/>
    <mergeCell ref="B30:C30"/>
    <mergeCell ref="B32:F32"/>
    <mergeCell ref="B33:F33"/>
    <mergeCell ref="L27:M27"/>
    <mergeCell ref="L28:M28"/>
    <mergeCell ref="L29:M29"/>
    <mergeCell ref="L30:M30"/>
    <mergeCell ref="E28:G28"/>
    <mergeCell ref="E29:G29"/>
    <mergeCell ref="D30:J30"/>
    <mergeCell ref="E23:G23"/>
    <mergeCell ref="E24:G24"/>
    <mergeCell ref="B25:C25"/>
    <mergeCell ref="E25:G25"/>
    <mergeCell ref="B26:C26"/>
    <mergeCell ref="E26:G26"/>
    <mergeCell ref="E27:G27"/>
    <mergeCell ref="N28:P28"/>
    <mergeCell ref="N29:P29"/>
    <mergeCell ref="N30:P30"/>
    <mergeCell ref="G33:P33"/>
    <mergeCell ref="G34:P34"/>
    <mergeCell ref="C35:K35"/>
    <mergeCell ref="L24:M24"/>
    <mergeCell ref="N24:P24"/>
    <mergeCell ref="L25:M25"/>
    <mergeCell ref="N25:P25"/>
    <mergeCell ref="L26:M26"/>
    <mergeCell ref="N26:P26"/>
    <mergeCell ref="N27:P27"/>
    <mergeCell ref="K2:L2"/>
    <mergeCell ref="M2:P2"/>
    <mergeCell ref="D3:I3"/>
    <mergeCell ref="K3:L3"/>
    <mergeCell ref="M3:P3"/>
    <mergeCell ref="K4:L4"/>
    <mergeCell ref="M4:P4"/>
    <mergeCell ref="K7:L7"/>
    <mergeCell ref="M7:P7"/>
    <mergeCell ref="K6:L6"/>
    <mergeCell ref="K8:L8"/>
    <mergeCell ref="D4:J4"/>
    <mergeCell ref="D5:J5"/>
    <mergeCell ref="K5:P5"/>
    <mergeCell ref="C6:C7"/>
    <mergeCell ref="M6:P6"/>
    <mergeCell ref="F7:G7"/>
    <mergeCell ref="M8:P8"/>
    <mergeCell ref="B8:C8"/>
    <mergeCell ref="B10:I10"/>
    <mergeCell ref="J10:M10"/>
    <mergeCell ref="N10:P10"/>
    <mergeCell ref="E11:I11"/>
    <mergeCell ref="J11:M11"/>
    <mergeCell ref="N11:P11"/>
    <mergeCell ref="E12:G12"/>
    <mergeCell ref="H12:I12"/>
    <mergeCell ref="J12:M12"/>
    <mergeCell ref="N12:P12"/>
    <mergeCell ref="H13:I13"/>
    <mergeCell ref="J13:M13"/>
    <mergeCell ref="N13:P13"/>
    <mergeCell ref="L23:M23"/>
    <mergeCell ref="N23:P23"/>
  </mergeCells>
  <printOptions gridLines="1" horizontalCentered="1"/>
  <pageMargins bottom="0.0" footer="0.0" header="0.0" left="0.0" right="0.0" top="0.39370078740157477"/>
  <pageSetup paperSize="9" scale="7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.38"/>
    <col customWidth="1" min="3" max="3" width="3.88"/>
    <col customWidth="1" min="4" max="4" width="9.5"/>
    <col customWidth="1" min="5" max="5" width="18.88"/>
    <col customWidth="1" min="6" max="6" width="6.38"/>
    <col customWidth="1" min="7" max="10" width="18.88"/>
    <col customWidth="1" min="11" max="11" width="12.63"/>
    <col customWidth="1" min="12" max="12" width="2.63"/>
    <col hidden="1" min="13" max="24" width="12.63"/>
  </cols>
  <sheetData>
    <row r="1" ht="31.5" customHeight="1">
      <c r="A1" s="1"/>
      <c r="B1" s="159" t="s">
        <v>102</v>
      </c>
      <c r="C1" s="75"/>
      <c r="D1" s="75"/>
      <c r="E1" s="75"/>
      <c r="F1" s="75"/>
      <c r="G1" s="75"/>
      <c r="H1" s="75"/>
      <c r="I1" s="75"/>
      <c r="J1" s="75"/>
      <c r="K1" s="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7.5" customHeight="1">
      <c r="A2" s="1"/>
      <c r="B2" s="76"/>
      <c r="C2" s="76"/>
      <c r="D2" s="76"/>
      <c r="E2" s="76"/>
      <c r="F2" s="76"/>
      <c r="G2" s="76"/>
      <c r="H2" s="76"/>
      <c r="I2" s="76"/>
      <c r="J2" s="7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21.0" customHeight="1">
      <c r="A3" s="1"/>
      <c r="B3" s="160" t="s">
        <v>32</v>
      </c>
      <c r="C3" s="161"/>
      <c r="D3" s="162" t="s">
        <v>103</v>
      </c>
      <c r="E3" s="163" t="s">
        <v>104</v>
      </c>
      <c r="F3" s="162" t="s">
        <v>105</v>
      </c>
      <c r="G3" s="162" t="s">
        <v>106</v>
      </c>
      <c r="H3" s="162" t="s">
        <v>107</v>
      </c>
      <c r="I3" s="162" t="s">
        <v>108</v>
      </c>
      <c r="J3" s="162" t="s">
        <v>109</v>
      </c>
      <c r="K3" s="162" t="s">
        <v>110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3.75" customHeight="1">
      <c r="A4" s="82"/>
      <c r="B4" s="83"/>
      <c r="C4" s="83"/>
      <c r="D4" s="83"/>
      <c r="E4" s="83"/>
      <c r="F4" s="83"/>
      <c r="H4" s="84"/>
      <c r="I4" s="84"/>
      <c r="J4" s="84"/>
      <c r="K4" s="84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</row>
    <row r="5" ht="21.0" customHeight="1">
      <c r="A5" s="1"/>
      <c r="B5" s="164">
        <v>1.0</v>
      </c>
      <c r="C5" s="165"/>
      <c r="D5" s="166" t="s">
        <v>111</v>
      </c>
      <c r="E5" s="167" t="s">
        <v>112</v>
      </c>
      <c r="F5" s="168">
        <v>12.0</v>
      </c>
      <c r="G5" s="169">
        <v>1.0E7</v>
      </c>
      <c r="H5" s="170">
        <f t="shared" ref="H5:H12" si="1">G5*50%</f>
        <v>5000000</v>
      </c>
      <c r="I5" s="171">
        <v>0.0</v>
      </c>
      <c r="J5" s="172">
        <f t="shared" ref="J5:J12" si="2">(G5+H5+I5)</f>
        <v>15000000</v>
      </c>
      <c r="K5" s="17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21.0" customHeight="1">
      <c r="A6" s="1"/>
      <c r="B6" s="174">
        <v>2.0</v>
      </c>
      <c r="C6" s="136"/>
      <c r="D6" s="175" t="s">
        <v>113</v>
      </c>
      <c r="E6" s="176" t="s">
        <v>114</v>
      </c>
      <c r="F6" s="177">
        <v>6.0</v>
      </c>
      <c r="G6" s="178">
        <v>5000000.0</v>
      </c>
      <c r="H6" s="179">
        <f t="shared" si="1"/>
        <v>2500000</v>
      </c>
      <c r="I6" s="180">
        <v>0.0</v>
      </c>
      <c r="J6" s="181">
        <f t="shared" si="2"/>
        <v>7500000</v>
      </c>
      <c r="K6" s="18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21.0" customHeight="1">
      <c r="A7" s="1"/>
      <c r="B7" s="174">
        <v>3.0</v>
      </c>
      <c r="C7" s="136"/>
      <c r="D7" s="175" t="s">
        <v>115</v>
      </c>
      <c r="E7" s="176" t="s">
        <v>116</v>
      </c>
      <c r="F7" s="177">
        <v>6.0</v>
      </c>
      <c r="G7" s="178">
        <v>5000000.0</v>
      </c>
      <c r="H7" s="179">
        <f t="shared" si="1"/>
        <v>2500000</v>
      </c>
      <c r="I7" s="180">
        <v>0.0</v>
      </c>
      <c r="J7" s="181">
        <f t="shared" si="2"/>
        <v>7500000</v>
      </c>
      <c r="K7" s="18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21.0" customHeight="1">
      <c r="A8" s="1"/>
      <c r="B8" s="174">
        <v>4.0</v>
      </c>
      <c r="C8" s="136"/>
      <c r="D8" s="175" t="s">
        <v>117</v>
      </c>
      <c r="E8" s="176" t="s">
        <v>118</v>
      </c>
      <c r="F8" s="177">
        <v>4.0</v>
      </c>
      <c r="G8" s="178">
        <v>4000000.0</v>
      </c>
      <c r="H8" s="179">
        <f t="shared" si="1"/>
        <v>2000000</v>
      </c>
      <c r="I8" s="180">
        <v>0.0</v>
      </c>
      <c r="J8" s="181">
        <f t="shared" si="2"/>
        <v>6000000</v>
      </c>
      <c r="K8" s="18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21.0" customHeight="1">
      <c r="A9" s="1"/>
      <c r="B9" s="174">
        <v>5.0</v>
      </c>
      <c r="C9" s="136"/>
      <c r="D9" s="175" t="s">
        <v>119</v>
      </c>
      <c r="E9" s="176" t="s">
        <v>120</v>
      </c>
      <c r="F9" s="177">
        <v>10.0</v>
      </c>
      <c r="G9" s="178">
        <v>1.0E7</v>
      </c>
      <c r="H9" s="179">
        <f t="shared" si="1"/>
        <v>5000000</v>
      </c>
      <c r="I9" s="180">
        <v>0.0</v>
      </c>
      <c r="J9" s="181">
        <f t="shared" si="2"/>
        <v>15000000</v>
      </c>
      <c r="K9" s="18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21.0" customHeight="1">
      <c r="A10" s="1"/>
      <c r="B10" s="174">
        <v>6.0</v>
      </c>
      <c r="C10" s="136"/>
      <c r="D10" s="175" t="s">
        <v>121</v>
      </c>
      <c r="E10" s="176" t="s">
        <v>122</v>
      </c>
      <c r="F10" s="177">
        <v>6.0</v>
      </c>
      <c r="G10" s="178">
        <v>6000000.0</v>
      </c>
      <c r="H10" s="179">
        <f t="shared" si="1"/>
        <v>3000000</v>
      </c>
      <c r="I10" s="180">
        <v>0.0</v>
      </c>
      <c r="J10" s="181">
        <f t="shared" si="2"/>
        <v>9000000</v>
      </c>
      <c r="K10" s="18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21.0" customHeight="1">
      <c r="A11" s="1"/>
      <c r="B11" s="174">
        <v>7.0</v>
      </c>
      <c r="C11" s="136"/>
      <c r="D11" s="175" t="s">
        <v>123</v>
      </c>
      <c r="E11" s="176" t="s">
        <v>124</v>
      </c>
      <c r="F11" s="177">
        <v>12.0</v>
      </c>
      <c r="G11" s="178">
        <v>1.0E7</v>
      </c>
      <c r="H11" s="179">
        <f t="shared" si="1"/>
        <v>5000000</v>
      </c>
      <c r="I11" s="180">
        <v>0.0</v>
      </c>
      <c r="J11" s="181">
        <f t="shared" si="2"/>
        <v>15000000</v>
      </c>
      <c r="K11" s="18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21.0" customHeight="1">
      <c r="A12" s="82"/>
      <c r="B12" s="183">
        <v>8.0</v>
      </c>
      <c r="C12" s="65"/>
      <c r="D12" s="184" t="s">
        <v>125</v>
      </c>
      <c r="E12" s="64" t="s">
        <v>126</v>
      </c>
      <c r="F12" s="185">
        <v>7.0</v>
      </c>
      <c r="G12" s="186">
        <v>6000000.0</v>
      </c>
      <c r="H12" s="187">
        <f t="shared" si="1"/>
        <v>3000000</v>
      </c>
      <c r="I12" s="188">
        <v>0.0</v>
      </c>
      <c r="J12" s="189">
        <f t="shared" si="2"/>
        <v>9000000</v>
      </c>
      <c r="K12" s="190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</row>
    <row r="13" ht="21.0" customHeight="1">
      <c r="A13" s="82"/>
      <c r="B13" s="191"/>
      <c r="C13" s="62"/>
      <c r="D13" s="62"/>
      <c r="E13" s="62"/>
      <c r="F13" s="65"/>
      <c r="G13" s="192" t="s">
        <v>127</v>
      </c>
      <c r="H13" s="193">
        <f>COUNT(G1:G12)</f>
        <v>8</v>
      </c>
      <c r="I13" s="192" t="s">
        <v>128</v>
      </c>
      <c r="J13" s="194">
        <f>sum(J5:J12)</f>
        <v>84000000</v>
      </c>
      <c r="K13" s="195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</row>
    <row r="14" ht="30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8.75" hidden="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8.75" hidden="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8.75" hidden="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8.75" hidden="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8.75" hidden="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8.75" hidden="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8.75" hidden="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8.75" hidden="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8.75" hidden="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8.75" hidden="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8.75" hidden="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8.75" hidden="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8.75" hidden="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8.75" hidden="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8.75" hidden="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8.75" hidden="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8.75" hidden="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8.75" hidden="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8.75" hidden="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8.75" hidden="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8.75" hidden="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8.75" hidden="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8.75" hidden="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8.75" hidden="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8.75" hidden="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8.75" hidden="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8.75" hidden="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8.75" hidden="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8.75" hidden="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8.75" hidden="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8.75" hidden="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8.75" hidden="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8.75" hidden="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8.75" hidden="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8.75" hidden="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8.75" hidden="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8.75" hidden="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8.75" hidden="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8.7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8.75" hidden="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8.75" hidden="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8.75" hidden="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8.75" hidden="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8.75" hidden="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8.75" hidden="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8.75" hidden="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8.75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8.75" hidden="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8.75" hidden="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8.75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8.7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8.7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8.7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8.7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8.75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8.7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8.7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8.7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8.75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8.75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8.7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8.7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8.7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8.7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8.7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8.75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8.7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8.7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8.7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8.7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8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8.7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8.7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8.7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8.7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8.7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8.7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8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8.7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8.7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8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8.7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8.7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8.7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8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8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8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8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8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8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8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8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8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8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8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8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8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8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8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8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8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8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8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8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8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8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8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8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8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8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8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8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8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8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8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8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8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8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8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8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8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8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8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8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8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8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8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8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8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8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8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8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8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8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8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8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8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8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8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8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8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8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8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8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8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8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8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8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8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8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8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8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8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8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8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8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8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8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8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8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8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8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8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8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8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8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8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8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8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8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8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8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8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8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8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8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8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8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8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8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8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8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8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8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8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8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8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8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8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8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8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8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8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8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8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8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8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8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8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8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8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8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8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8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8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8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8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8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8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8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8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8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8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8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8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8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8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8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8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8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8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8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8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8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8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8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8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8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8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8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8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8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8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8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8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8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8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8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8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8.7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8.7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8.7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8.7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8.7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8.7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8.7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8.7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8.7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8.7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8.7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8.7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8.7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8.7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8.7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8.7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8.7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8.7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8.7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8.7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8.7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8.7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8.7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8.7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8.7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8.7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8.7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8.7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8.7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8.7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8.7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8.7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8.7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8.7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8.7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8.7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8.7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8.7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8.7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8.7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8.7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8.7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8.7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8.7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8.7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8.7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8.7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8.7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8.7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8.7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8.7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8.7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8.7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8.7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8.7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8.7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8.7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8.7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8.7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8.7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8.7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8.7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8.7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8.7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8.7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8.7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8.7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8.7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8.7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8.7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8.7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8.7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8.7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8.7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8.7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8.7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8.7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8.7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8.7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8.7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8.7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8.7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8.7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8.7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8.7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8.7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8.7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8.7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8.7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8.7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8.7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8.7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8.7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8.7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8.7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8.7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8.7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8.7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8.7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8.7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8.7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8.7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8.7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8.7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8.7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8.7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8.7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8.7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8.7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8.7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8.7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8.7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8.7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8.7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8.7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8.7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8.7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8.7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8.7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8.7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8.7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8.7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8.7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8.7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8.7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8.7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8.7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8.7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8.7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8.7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8.7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8.7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8.7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8.7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8.7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8.7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8.7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8.7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8.7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8.7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8.7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8.7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8.7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8.7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8.7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8.7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8.7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8.7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8.7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8.7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8.7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8.7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8.7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8.7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8.7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8.7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8.7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8.7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8.7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8.7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8.7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8.7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8.7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8.7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8.7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8.7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8.7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8.7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8.7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8.7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8.7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8.7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8.7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8.7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8.7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8.7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8.7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8.7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8.7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8.7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8.7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8.7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8.7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8.7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8.7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8.7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8.7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8.7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8.7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8.7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8.7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8.7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8.7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8.7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8.7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8.7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8.7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8.7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8.7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8.7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8.7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8.7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8.7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8.7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8.7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8.7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8.7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8.7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8.7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8.7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8.7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8.7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8.7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8.7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8.7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8.7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8.7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8.7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8.7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8.7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8.7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8.7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8.7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8.7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8.7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8.7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8.7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8.7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8.7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8.7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8.7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8.7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8.7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8.7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8.7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8.7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8.7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8.7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8.7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8.7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8.7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8.7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8.7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8.7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8.7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8.7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8.7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8.7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8.7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8.7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8.7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8.7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8.7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8.7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8.7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8.7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8.7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8.7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8.7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8.7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8.7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8.7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8.7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8.7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8.7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8.7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8.7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8.7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8.7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8.7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8.7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8.7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8.7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8.7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8.7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8.7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8.7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8.7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8.7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8.7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8.7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8.7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8.7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8.7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8.7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8.7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8.7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8.7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8.7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8.7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8.7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8.7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8.7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8.7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8.7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8.7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8.7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8.7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8.7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8.7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8.7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8.7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8.7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8.7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8.7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8.7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8.7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8.7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8.7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8.7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8.7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8.7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8.7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8.7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8.7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8.7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8.7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8.7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8.7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8.7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8.7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8.7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8.7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8.7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8.7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8.7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8.7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8.7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8.7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8.7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8.7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8.7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8.7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8.7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8.7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8.7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8.7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8.7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8.7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8.7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8.7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8.7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8.7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8.7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8.7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8.7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8.7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8.7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8.7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8.7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8.7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8.7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8.7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8.7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8.7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8.7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8.7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8.7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8.7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8.7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8.7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8.7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8.7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8.7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8.7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8.7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8.7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8.7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8.7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8.7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8.7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8.7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8.7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8.7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8.7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8.7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8.7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8.7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8.7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8.7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8.7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8.7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8.7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8.7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8.7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8.7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8.7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8.7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8.7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8.7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8.7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8.7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8.7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8.7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8.7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8.7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8.7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8.7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8.7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8.7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8.7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8.7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8.7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8.7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8.7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8.7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8.7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8.7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8.7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8.7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8.7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8.7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8.7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8.7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8.7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8.7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8.7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8.7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8.7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8.7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8.7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8.7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8.7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8.7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8.7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8.7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8.7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8.7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8.7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8.7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8.7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8.7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8.7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8.7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8.7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8.7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8.7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8.7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8.7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8.7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8.7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8.7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8.7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8.7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8.7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8.7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8.7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8.7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8.7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8.7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8.7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8.7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8.7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8.7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8.7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8.7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8.7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8.7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8.7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8.7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8.7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8.7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8.7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8.7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8.7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8.7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8.7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8.7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8.7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8.7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8.7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8.7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8.7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8.7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8.7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8.7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8.7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8.7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8.7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8.7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8.7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8.7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8.7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8.7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8.7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8.7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8.7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8.7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8.7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8.7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8.7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8.7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8.7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8.7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8.7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8.7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8.7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8.7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8.7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8.7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8.7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8.7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8.7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8.7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8.7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8.7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8.7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8.7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8.7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8.7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8.7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8.7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8.7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8.7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8.7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8.7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8.7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8.7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8.7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8.7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8.7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8.7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8.7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8.7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8.7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8.7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8.7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8.7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8.7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8.7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8.7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8.7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8.7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8.7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8.7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8.7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8.7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8.7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8.7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8.7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8.7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8.7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8.7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8.7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8.7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8.7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8.7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8.7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8.7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8.7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8.7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8.7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8.7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8.7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8.7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8.7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8.7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8.7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8.7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8.7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8.7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8.7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8.7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8.7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8.7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8.7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8.7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8.7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8.7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8.7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8.7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8.7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8.7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8.7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8.7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8.7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8.7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8.7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8.7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8.7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8.7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8.7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8.7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8.7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8.7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8.7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8.7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8.7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8.7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8.7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8.7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8.7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8.7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8.7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8.7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8.7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8.7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8.7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8.7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8.7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8.7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8.7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8.7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8.7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8.7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8.7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8.7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8.7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8.7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8.7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8.7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8.7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8.7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8.7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8.7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8.7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8.7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8.7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8.7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8.7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8.7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8.7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8.7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8.7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8.7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8.7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8.7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8.7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8.7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8.7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8.7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8.7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8.7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8.7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8.7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8.7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8.7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8.7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8.7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8.7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8.7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8.7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8.7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8.7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8.7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8.7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8.7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8.7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8.7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8.7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8.7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8.7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8.7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8.7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8.7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8.7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8.7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8.7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8.7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8.7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8.7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8.7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8.7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8.7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8.7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8.7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8.7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8.7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8.7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8.7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8.7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8.7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8.7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8.7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8.7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8.7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8.7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8.7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8.7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8.7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8.7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8.7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8.7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8.7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8.7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8.7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8.7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8.7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8.7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8.7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8.7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8.7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8.7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8.7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8.7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8.7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8.7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8.7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8.7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8.7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8.7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8.7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8.7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8.7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</sheetData>
  <mergeCells count="12">
    <mergeCell ref="B10:C10"/>
    <mergeCell ref="B11:C11"/>
    <mergeCell ref="B12:C12"/>
    <mergeCell ref="B13:F13"/>
    <mergeCell ref="J13:K13"/>
    <mergeCell ref="B1:K1"/>
    <mergeCell ref="B3:C3"/>
    <mergeCell ref="B5:C5"/>
    <mergeCell ref="B6:C6"/>
    <mergeCell ref="B7:C7"/>
    <mergeCell ref="B8:C8"/>
    <mergeCell ref="B9:C9"/>
  </mergeCells>
  <printOptions gridLines="1" horizontalCentered="1"/>
  <pageMargins bottom="0.0" footer="0.0" header="0.0" left="0.0" right="0.0" top="0.39370078740157477"/>
  <pageSetup paperSize="9" scale="7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5.13"/>
  </cols>
  <sheetData>
    <row r="1" ht="45.0" customHeight="1">
      <c r="A1" s="196" t="s">
        <v>129</v>
      </c>
    </row>
    <row r="2" ht="22.5" customHeight="1">
      <c r="A2" s="197" t="s">
        <v>130</v>
      </c>
      <c r="B2" s="198">
        <v>45658.0</v>
      </c>
    </row>
    <row r="3" ht="22.5" customHeight="1">
      <c r="A3" s="197" t="s">
        <v>131</v>
      </c>
      <c r="B3" s="198">
        <v>45670.0</v>
      </c>
    </row>
    <row r="4" ht="22.5" customHeight="1">
      <c r="A4" s="197" t="s">
        <v>132</v>
      </c>
      <c r="B4" s="198">
        <v>45699.0</v>
      </c>
    </row>
    <row r="5" ht="22.5" customHeight="1">
      <c r="A5" s="199" t="s">
        <v>133</v>
      </c>
      <c r="B5" s="200">
        <v>45711.0</v>
      </c>
    </row>
    <row r="6" ht="22.5" customHeight="1">
      <c r="A6" s="197" t="s">
        <v>134</v>
      </c>
      <c r="B6" s="198">
        <v>45712.0</v>
      </c>
    </row>
    <row r="7" ht="22.5" customHeight="1">
      <c r="A7" s="197" t="s">
        <v>135</v>
      </c>
      <c r="B7" s="198">
        <v>45736.0</v>
      </c>
    </row>
    <row r="8" ht="22.5" customHeight="1">
      <c r="A8" s="197" t="s">
        <v>136</v>
      </c>
      <c r="B8" s="198">
        <v>45776.0</v>
      </c>
    </row>
    <row r="9" ht="22.5" customHeight="1">
      <c r="A9" s="197" t="s">
        <v>137</v>
      </c>
      <c r="B9" s="198">
        <v>45777.0</v>
      </c>
    </row>
    <row r="10" ht="22.5" customHeight="1">
      <c r="A10" s="197" t="s">
        <v>137</v>
      </c>
      <c r="B10" s="198">
        <v>45778.0</v>
      </c>
    </row>
    <row r="11" ht="22.5" customHeight="1">
      <c r="A11" s="197" t="s">
        <v>137</v>
      </c>
      <c r="B11" s="198">
        <v>45779.0</v>
      </c>
    </row>
    <row r="12" ht="22.5" customHeight="1">
      <c r="A12" s="197" t="s">
        <v>138</v>
      </c>
      <c r="B12" s="198">
        <v>45780.0</v>
      </c>
    </row>
    <row r="13" ht="22.5" customHeight="1">
      <c r="A13" s="199" t="s">
        <v>139</v>
      </c>
      <c r="B13" s="200">
        <v>45781.0</v>
      </c>
    </row>
    <row r="14" ht="22.5" customHeight="1">
      <c r="A14" s="197" t="s">
        <v>140</v>
      </c>
      <c r="B14" s="198">
        <v>45782.0</v>
      </c>
    </row>
    <row r="15" ht="22.5" customHeight="1">
      <c r="A15" s="197" t="s">
        <v>141</v>
      </c>
      <c r="B15" s="198">
        <v>45783.0</v>
      </c>
    </row>
    <row r="16" ht="22.5" customHeight="1">
      <c r="A16" s="197" t="s">
        <v>142</v>
      </c>
      <c r="B16" s="198">
        <v>45859.0</v>
      </c>
    </row>
    <row r="17" ht="22.5" customHeight="1">
      <c r="A17" s="197" t="s">
        <v>143</v>
      </c>
      <c r="B17" s="198">
        <v>45880.0</v>
      </c>
    </row>
    <row r="18" ht="22.5" customHeight="1">
      <c r="A18" s="197" t="s">
        <v>144</v>
      </c>
      <c r="B18" s="198">
        <v>45882.0</v>
      </c>
    </row>
    <row r="19" ht="22.5" customHeight="1">
      <c r="A19" s="197" t="s">
        <v>145</v>
      </c>
      <c r="B19" s="198">
        <v>45883.0</v>
      </c>
    </row>
    <row r="20" ht="22.5" customHeight="1">
      <c r="A20" s="197" t="s">
        <v>145</v>
      </c>
      <c r="B20" s="198">
        <v>45884.0</v>
      </c>
    </row>
    <row r="21" ht="22.5" customHeight="1">
      <c r="A21" s="197" t="s">
        <v>146</v>
      </c>
      <c r="B21" s="198">
        <v>45915.0</v>
      </c>
    </row>
    <row r="22" ht="22.5" customHeight="1">
      <c r="A22" s="197" t="s">
        <v>147</v>
      </c>
      <c r="B22" s="198">
        <v>45923.0</v>
      </c>
    </row>
    <row r="23" ht="22.5" customHeight="1">
      <c r="A23" s="197" t="s">
        <v>148</v>
      </c>
      <c r="B23" s="198">
        <v>45943.0</v>
      </c>
    </row>
    <row r="24" ht="22.5" customHeight="1">
      <c r="A24" s="197" t="s">
        <v>149</v>
      </c>
      <c r="B24" s="198">
        <v>45964.0</v>
      </c>
    </row>
    <row r="25" ht="22.5" customHeight="1">
      <c r="A25" s="199" t="s">
        <v>150</v>
      </c>
      <c r="B25" s="200">
        <v>45984.0</v>
      </c>
    </row>
    <row r="26" ht="22.5" customHeight="1">
      <c r="A26" s="197" t="s">
        <v>151</v>
      </c>
      <c r="B26" s="198">
        <v>45985.0</v>
      </c>
    </row>
    <row r="27" ht="22.5" customHeight="1">
      <c r="A27" s="201"/>
      <c r="B27" s="202"/>
    </row>
    <row r="28" ht="22.5" customHeight="1">
      <c r="A28" s="201"/>
      <c r="B28" s="202"/>
    </row>
    <row r="29" ht="22.5" customHeight="1">
      <c r="A29" s="201"/>
      <c r="B29" s="202"/>
    </row>
    <row r="30" ht="22.5" customHeight="1">
      <c r="A30" s="201"/>
      <c r="B30" s="202"/>
    </row>
    <row r="31" ht="22.5" customHeight="1">
      <c r="A31" s="201"/>
      <c r="B31" s="202"/>
    </row>
    <row r="32" ht="22.5" customHeight="1">
      <c r="A32" s="201"/>
      <c r="B32" s="201"/>
    </row>
    <row r="33" ht="22.5" customHeight="1">
      <c r="A33" s="201"/>
      <c r="B33" s="201"/>
    </row>
    <row r="34" ht="22.5" customHeight="1">
      <c r="A34" s="201"/>
      <c r="B34" s="197"/>
    </row>
    <row r="35" ht="22.5" customHeight="1">
      <c r="A35" s="201"/>
      <c r="B35" s="201"/>
    </row>
    <row r="36" ht="22.5" customHeight="1">
      <c r="A36" s="201"/>
      <c r="B36" s="197"/>
    </row>
    <row r="37" ht="22.5" customHeight="1">
      <c r="A37" s="201"/>
      <c r="B37" s="197"/>
    </row>
    <row r="38" ht="22.5" customHeight="1">
      <c r="A38" s="201"/>
      <c r="B38" s="201"/>
    </row>
    <row r="39" ht="22.5" customHeight="1">
      <c r="A39" s="201"/>
      <c r="B39" s="197"/>
    </row>
    <row r="40" ht="22.5" customHeight="1">
      <c r="A40" s="201"/>
      <c r="B40" s="201"/>
    </row>
    <row r="41" ht="22.5" customHeight="1">
      <c r="A41" s="201"/>
      <c r="B41" s="201"/>
    </row>
    <row r="42" ht="22.5" customHeight="1">
      <c r="A42" s="201"/>
      <c r="B42" s="201"/>
    </row>
    <row r="43" ht="22.5" customHeight="1">
      <c r="A43" s="201"/>
      <c r="B43" s="201"/>
    </row>
    <row r="44" ht="22.5" customHeight="1">
      <c r="A44" s="201"/>
      <c r="B44" s="201"/>
    </row>
    <row r="45" ht="22.5" customHeight="1">
      <c r="A45" s="201"/>
      <c r="B45" s="201"/>
    </row>
    <row r="46" ht="22.5" customHeight="1">
      <c r="A46" s="201"/>
      <c r="B46" s="201"/>
    </row>
    <row r="47" ht="22.5" customHeight="1">
      <c r="A47" s="201"/>
      <c r="B47" s="201"/>
    </row>
    <row r="48" ht="22.5" customHeight="1">
      <c r="A48" s="201"/>
      <c r="B48" s="201"/>
    </row>
    <row r="49" ht="22.5" customHeight="1">
      <c r="A49" s="201"/>
      <c r="B49" s="201"/>
    </row>
    <row r="50" ht="22.5" customHeight="1">
      <c r="A50" s="201"/>
      <c r="B50" s="201"/>
    </row>
    <row r="51" ht="22.5" customHeight="1">
      <c r="A51" s="201"/>
      <c r="B51" s="201"/>
    </row>
    <row r="52" ht="22.5" customHeight="1">
      <c r="A52" s="201"/>
      <c r="B52" s="201"/>
    </row>
    <row r="53" ht="22.5" customHeight="1">
      <c r="A53" s="201"/>
      <c r="B53" s="201"/>
    </row>
    <row r="54" ht="22.5" customHeight="1">
      <c r="A54" s="201"/>
      <c r="B54" s="201"/>
    </row>
    <row r="55" ht="22.5" customHeight="1">
      <c r="A55" s="201"/>
      <c r="B55" s="201"/>
    </row>
    <row r="56" ht="22.5" customHeight="1">
      <c r="A56" s="201"/>
      <c r="B56" s="201"/>
    </row>
    <row r="57" ht="22.5" customHeight="1">
      <c r="A57" s="201"/>
      <c r="B57" s="201"/>
    </row>
    <row r="58" ht="22.5" customHeight="1">
      <c r="A58" s="201"/>
      <c r="B58" s="201"/>
    </row>
    <row r="59" ht="22.5" customHeight="1">
      <c r="A59" s="201"/>
      <c r="B59" s="201"/>
    </row>
    <row r="60" ht="22.5" customHeight="1">
      <c r="A60" s="201"/>
      <c r="B60" s="201"/>
    </row>
    <row r="61" ht="22.5" customHeight="1">
      <c r="A61" s="201"/>
      <c r="B61" s="201"/>
    </row>
    <row r="62" ht="22.5" customHeight="1">
      <c r="A62" s="201"/>
      <c r="B62" s="201"/>
    </row>
    <row r="63" ht="22.5" customHeight="1">
      <c r="A63" s="201"/>
      <c r="B63" s="201"/>
    </row>
    <row r="64" ht="22.5" customHeight="1">
      <c r="A64" s="201"/>
      <c r="B64" s="201"/>
    </row>
    <row r="65" ht="22.5" customHeight="1">
      <c r="A65" s="201"/>
      <c r="B65" s="201"/>
    </row>
    <row r="66" ht="22.5" customHeight="1">
      <c r="A66" s="201"/>
      <c r="B66" s="201"/>
    </row>
    <row r="67" ht="22.5" customHeight="1">
      <c r="A67" s="201"/>
      <c r="B67" s="201"/>
    </row>
    <row r="68" ht="22.5" customHeight="1">
      <c r="A68" s="201"/>
      <c r="B68" s="201"/>
    </row>
    <row r="69" ht="22.5" customHeight="1">
      <c r="A69" s="201"/>
      <c r="B69" s="201"/>
    </row>
    <row r="70" ht="22.5" customHeight="1">
      <c r="A70" s="201"/>
      <c r="B70" s="201"/>
    </row>
    <row r="71" ht="22.5" customHeight="1">
      <c r="A71" s="201"/>
      <c r="B71" s="201"/>
    </row>
    <row r="72" ht="22.5" customHeight="1">
      <c r="A72" s="201"/>
      <c r="B72" s="201"/>
    </row>
    <row r="73" ht="22.5" customHeight="1">
      <c r="A73" s="201"/>
      <c r="B73" s="201"/>
    </row>
    <row r="74" ht="22.5" customHeight="1">
      <c r="A74" s="201"/>
      <c r="B74" s="201"/>
    </row>
    <row r="75" ht="22.5" customHeight="1">
      <c r="A75" s="201"/>
      <c r="B75" s="201"/>
    </row>
    <row r="76" ht="22.5" customHeight="1">
      <c r="A76" s="201"/>
      <c r="B76" s="201"/>
    </row>
    <row r="77" ht="22.5" customHeight="1">
      <c r="A77" s="201"/>
      <c r="B77" s="201"/>
    </row>
    <row r="78" ht="22.5" customHeight="1">
      <c r="A78" s="201"/>
      <c r="B78" s="201"/>
    </row>
    <row r="79" ht="22.5" customHeight="1">
      <c r="A79" s="201"/>
      <c r="B79" s="201"/>
    </row>
    <row r="80" ht="22.5" customHeight="1">
      <c r="A80" s="201"/>
      <c r="B80" s="201"/>
    </row>
    <row r="81" ht="22.5" customHeight="1">
      <c r="A81" s="201"/>
      <c r="B81" s="201"/>
    </row>
    <row r="82" ht="22.5" customHeight="1">
      <c r="A82" s="201"/>
      <c r="B82" s="201"/>
    </row>
    <row r="83" ht="22.5" customHeight="1">
      <c r="A83" s="201"/>
      <c r="B83" s="201"/>
    </row>
    <row r="84" ht="22.5" customHeight="1">
      <c r="A84" s="201"/>
      <c r="B84" s="201"/>
    </row>
    <row r="85" ht="22.5" customHeight="1">
      <c r="A85" s="201"/>
      <c r="B85" s="201"/>
    </row>
    <row r="86" ht="22.5" customHeight="1">
      <c r="A86" s="201"/>
      <c r="B86" s="201"/>
    </row>
    <row r="87" ht="22.5" customHeight="1">
      <c r="A87" s="201"/>
      <c r="B87" s="201"/>
    </row>
    <row r="88" ht="22.5" customHeight="1">
      <c r="A88" s="201"/>
      <c r="B88" s="201"/>
    </row>
    <row r="89" ht="22.5" customHeight="1">
      <c r="A89" s="201"/>
      <c r="B89" s="201"/>
    </row>
    <row r="90" ht="22.5" customHeight="1">
      <c r="A90" s="201"/>
      <c r="B90" s="201"/>
    </row>
    <row r="91" ht="22.5" customHeight="1">
      <c r="A91" s="201"/>
      <c r="B91" s="201"/>
    </row>
    <row r="92" ht="22.5" customHeight="1">
      <c r="A92" s="201"/>
      <c r="B92" s="201"/>
    </row>
    <row r="93" ht="22.5" customHeight="1">
      <c r="A93" s="201"/>
      <c r="B93" s="201"/>
    </row>
    <row r="94" ht="22.5" customHeight="1">
      <c r="A94" s="201"/>
      <c r="B94" s="201"/>
    </row>
    <row r="95" ht="22.5" customHeight="1">
      <c r="A95" s="201"/>
      <c r="B95" s="201"/>
    </row>
    <row r="96" ht="22.5" customHeight="1">
      <c r="A96" s="201"/>
      <c r="B96" s="201"/>
    </row>
    <row r="97" ht="22.5" customHeight="1">
      <c r="A97" s="201"/>
      <c r="B97" s="201"/>
    </row>
    <row r="98" ht="22.5" customHeight="1">
      <c r="A98" s="201"/>
      <c r="B98" s="201"/>
    </row>
    <row r="99" ht="22.5" customHeight="1">
      <c r="A99" s="201"/>
      <c r="B99" s="201"/>
    </row>
    <row r="100" ht="22.5" customHeight="1">
      <c r="A100" s="201"/>
      <c r="B100" s="201"/>
    </row>
    <row r="101" ht="22.5" customHeight="1">
      <c r="A101" s="201"/>
      <c r="B101" s="201"/>
    </row>
    <row r="102" ht="22.5" customHeight="1">
      <c r="A102" s="201"/>
      <c r="B102" s="201"/>
    </row>
    <row r="103" ht="22.5" customHeight="1">
      <c r="A103" s="201"/>
      <c r="B103" s="201"/>
    </row>
    <row r="104" ht="22.5" customHeight="1">
      <c r="A104" s="201"/>
      <c r="B104" s="201"/>
    </row>
    <row r="105" ht="22.5" customHeight="1">
      <c r="A105" s="201"/>
      <c r="B105" s="201"/>
    </row>
    <row r="106" ht="22.5" customHeight="1">
      <c r="A106" s="201"/>
      <c r="B106" s="201"/>
    </row>
    <row r="107" ht="22.5" customHeight="1">
      <c r="A107" s="201"/>
      <c r="B107" s="201"/>
    </row>
    <row r="108" ht="22.5" customHeight="1">
      <c r="A108" s="201"/>
      <c r="B108" s="201"/>
    </row>
    <row r="109" ht="22.5" customHeight="1">
      <c r="A109" s="201"/>
      <c r="B109" s="201"/>
    </row>
    <row r="110" ht="22.5" customHeight="1">
      <c r="A110" s="201"/>
      <c r="B110" s="201"/>
    </row>
    <row r="111" ht="22.5" customHeight="1">
      <c r="A111" s="201"/>
      <c r="B111" s="201"/>
    </row>
    <row r="112" ht="22.5" customHeight="1">
      <c r="A112" s="201"/>
      <c r="B112" s="201"/>
    </row>
    <row r="113" ht="22.5" customHeight="1">
      <c r="A113" s="201"/>
      <c r="B113" s="201"/>
    </row>
    <row r="114" ht="22.5" customHeight="1">
      <c r="A114" s="201"/>
      <c r="B114" s="201"/>
    </row>
    <row r="115" ht="22.5" customHeight="1">
      <c r="A115" s="201"/>
      <c r="B115" s="201"/>
    </row>
    <row r="116" ht="22.5" customHeight="1">
      <c r="A116" s="201"/>
      <c r="B116" s="201"/>
    </row>
    <row r="117" ht="22.5" customHeight="1">
      <c r="A117" s="201"/>
      <c r="B117" s="201"/>
    </row>
    <row r="118" ht="22.5" customHeight="1">
      <c r="A118" s="201"/>
      <c r="B118" s="201"/>
    </row>
    <row r="119" ht="22.5" customHeight="1">
      <c r="A119" s="201"/>
      <c r="B119" s="201"/>
    </row>
    <row r="120" ht="22.5" customHeight="1">
      <c r="A120" s="201"/>
      <c r="B120" s="201"/>
    </row>
    <row r="121" ht="22.5" customHeight="1">
      <c r="A121" s="201"/>
      <c r="B121" s="201"/>
    </row>
    <row r="122" ht="22.5" customHeight="1">
      <c r="A122" s="201"/>
      <c r="B122" s="201"/>
    </row>
    <row r="123" ht="22.5" customHeight="1">
      <c r="A123" s="201"/>
      <c r="B123" s="201"/>
    </row>
    <row r="124" ht="22.5" customHeight="1">
      <c r="A124" s="201"/>
      <c r="B124" s="201"/>
    </row>
    <row r="125" ht="22.5" customHeight="1">
      <c r="A125" s="201"/>
      <c r="B125" s="201"/>
    </row>
    <row r="126" ht="22.5" customHeight="1">
      <c r="A126" s="201"/>
      <c r="B126" s="201"/>
    </row>
    <row r="127" ht="22.5" customHeight="1">
      <c r="A127" s="201"/>
      <c r="B127" s="201"/>
    </row>
    <row r="128" ht="22.5" customHeight="1">
      <c r="A128" s="201"/>
      <c r="B128" s="201"/>
    </row>
    <row r="129" ht="22.5" customHeight="1">
      <c r="A129" s="201"/>
      <c r="B129" s="201"/>
    </row>
    <row r="130" ht="22.5" customHeight="1">
      <c r="A130" s="201"/>
      <c r="B130" s="201"/>
    </row>
    <row r="131" ht="22.5" customHeight="1">
      <c r="A131" s="201"/>
      <c r="B131" s="201"/>
    </row>
    <row r="132" ht="22.5" customHeight="1">
      <c r="A132" s="201"/>
      <c r="B132" s="201"/>
    </row>
    <row r="133" ht="22.5" customHeight="1">
      <c r="A133" s="201"/>
      <c r="B133" s="201"/>
    </row>
    <row r="134" ht="22.5" customHeight="1">
      <c r="A134" s="201"/>
      <c r="B134" s="201"/>
    </row>
    <row r="135" ht="22.5" customHeight="1">
      <c r="A135" s="201"/>
      <c r="B135" s="201"/>
    </row>
    <row r="136" ht="22.5" customHeight="1">
      <c r="A136" s="201"/>
      <c r="B136" s="201"/>
    </row>
    <row r="137" ht="22.5" customHeight="1">
      <c r="A137" s="201"/>
      <c r="B137" s="201"/>
    </row>
    <row r="138" ht="22.5" customHeight="1">
      <c r="A138" s="201"/>
      <c r="B138" s="201"/>
    </row>
    <row r="139" ht="22.5" customHeight="1">
      <c r="A139" s="201"/>
      <c r="B139" s="201"/>
    </row>
    <row r="140" ht="22.5" customHeight="1">
      <c r="A140" s="201"/>
      <c r="B140" s="201"/>
    </row>
    <row r="141" ht="22.5" customHeight="1">
      <c r="A141" s="201"/>
      <c r="B141" s="201"/>
    </row>
    <row r="142" ht="22.5" customHeight="1">
      <c r="A142" s="201"/>
      <c r="B142" s="201"/>
    </row>
    <row r="143" ht="22.5" customHeight="1">
      <c r="A143" s="201"/>
      <c r="B143" s="201"/>
    </row>
    <row r="144" ht="22.5" customHeight="1">
      <c r="A144" s="201"/>
      <c r="B144" s="201"/>
    </row>
    <row r="145" ht="22.5" customHeight="1">
      <c r="A145" s="201"/>
      <c r="B145" s="201"/>
    </row>
    <row r="146" ht="22.5" customHeight="1">
      <c r="A146" s="201"/>
      <c r="B146" s="201"/>
    </row>
    <row r="147" ht="22.5" customHeight="1">
      <c r="A147" s="201"/>
      <c r="B147" s="201"/>
    </row>
    <row r="148" ht="22.5" customHeight="1">
      <c r="A148" s="201"/>
      <c r="B148" s="201"/>
    </row>
    <row r="149" ht="22.5" customHeight="1">
      <c r="A149" s="201"/>
      <c r="B149" s="201"/>
    </row>
    <row r="150" ht="22.5" customHeight="1">
      <c r="A150" s="201"/>
      <c r="B150" s="201"/>
    </row>
    <row r="151" ht="22.5" customHeight="1">
      <c r="A151" s="201"/>
      <c r="B151" s="201"/>
    </row>
    <row r="152" ht="22.5" customHeight="1">
      <c r="A152" s="201"/>
      <c r="B152" s="201"/>
    </row>
    <row r="153" ht="22.5" customHeight="1">
      <c r="A153" s="201"/>
      <c r="B153" s="201"/>
    </row>
    <row r="154" ht="22.5" customHeight="1">
      <c r="A154" s="201"/>
      <c r="B154" s="201"/>
    </row>
    <row r="155" ht="22.5" customHeight="1">
      <c r="A155" s="201"/>
      <c r="B155" s="201"/>
    </row>
    <row r="156" ht="22.5" customHeight="1">
      <c r="A156" s="201"/>
      <c r="B156" s="201"/>
    </row>
    <row r="157" ht="22.5" customHeight="1">
      <c r="A157" s="201"/>
      <c r="B157" s="201"/>
    </row>
    <row r="158" ht="22.5" customHeight="1">
      <c r="A158" s="201"/>
      <c r="B158" s="201"/>
    </row>
    <row r="159" ht="22.5" customHeight="1">
      <c r="A159" s="201"/>
      <c r="B159" s="201"/>
    </row>
    <row r="160" ht="22.5" customHeight="1">
      <c r="A160" s="201"/>
      <c r="B160" s="201"/>
    </row>
    <row r="161" ht="22.5" customHeight="1">
      <c r="A161" s="201"/>
      <c r="B161" s="201"/>
    </row>
    <row r="162" ht="22.5" customHeight="1">
      <c r="A162" s="201"/>
      <c r="B162" s="201"/>
    </row>
    <row r="163" ht="22.5" customHeight="1">
      <c r="A163" s="201"/>
      <c r="B163" s="201"/>
    </row>
    <row r="164" ht="22.5" customHeight="1">
      <c r="A164" s="201"/>
      <c r="B164" s="201"/>
    </row>
    <row r="165" ht="22.5" customHeight="1">
      <c r="A165" s="201"/>
      <c r="B165" s="201"/>
    </row>
    <row r="166" ht="22.5" customHeight="1">
      <c r="A166" s="201"/>
      <c r="B166" s="201"/>
    </row>
    <row r="167" ht="22.5" customHeight="1">
      <c r="A167" s="201"/>
      <c r="B167" s="201"/>
    </row>
    <row r="168" ht="22.5" customHeight="1">
      <c r="A168" s="201"/>
      <c r="B168" s="201"/>
    </row>
    <row r="169" ht="22.5" customHeight="1">
      <c r="A169" s="201"/>
      <c r="B169" s="201"/>
    </row>
    <row r="170" ht="22.5" customHeight="1">
      <c r="A170" s="201"/>
      <c r="B170" s="201"/>
    </row>
    <row r="171" ht="22.5" customHeight="1">
      <c r="A171" s="201"/>
      <c r="B171" s="201"/>
    </row>
    <row r="172" ht="22.5" customHeight="1">
      <c r="A172" s="201"/>
      <c r="B172" s="201"/>
    </row>
    <row r="173" ht="22.5" customHeight="1">
      <c r="A173" s="201"/>
      <c r="B173" s="201"/>
    </row>
    <row r="174" ht="22.5" customHeight="1">
      <c r="A174" s="201"/>
      <c r="B174" s="201"/>
    </row>
    <row r="175" ht="22.5" customHeight="1">
      <c r="A175" s="201"/>
      <c r="B175" s="201"/>
    </row>
    <row r="176" ht="22.5" customHeight="1">
      <c r="A176" s="201"/>
      <c r="B176" s="201"/>
    </row>
    <row r="177" ht="22.5" customHeight="1">
      <c r="A177" s="201"/>
      <c r="B177" s="201"/>
    </row>
    <row r="178" ht="22.5" customHeight="1">
      <c r="A178" s="201"/>
      <c r="B178" s="201"/>
    </row>
    <row r="179" ht="22.5" customHeight="1">
      <c r="A179" s="201"/>
      <c r="B179" s="201"/>
    </row>
    <row r="180" ht="22.5" customHeight="1">
      <c r="A180" s="201"/>
      <c r="B180" s="201"/>
    </row>
    <row r="181" ht="22.5" customHeight="1">
      <c r="A181" s="201"/>
      <c r="B181" s="201"/>
    </row>
    <row r="182" ht="22.5" customHeight="1">
      <c r="A182" s="201"/>
      <c r="B182" s="201"/>
    </row>
    <row r="183" ht="22.5" customHeight="1">
      <c r="A183" s="201"/>
      <c r="B183" s="201"/>
    </row>
    <row r="184" ht="22.5" customHeight="1">
      <c r="A184" s="201"/>
      <c r="B184" s="201"/>
    </row>
    <row r="185" ht="22.5" customHeight="1">
      <c r="A185" s="201"/>
      <c r="B185" s="201"/>
    </row>
    <row r="186" ht="22.5" customHeight="1">
      <c r="A186" s="201"/>
      <c r="B186" s="201"/>
    </row>
    <row r="187" ht="22.5" customHeight="1">
      <c r="A187" s="201"/>
      <c r="B187" s="201"/>
    </row>
    <row r="188" ht="22.5" customHeight="1">
      <c r="A188" s="201"/>
      <c r="B188" s="201"/>
    </row>
    <row r="189" ht="22.5" customHeight="1">
      <c r="A189" s="201"/>
      <c r="B189" s="201"/>
    </row>
    <row r="190" ht="22.5" customHeight="1">
      <c r="A190" s="201"/>
      <c r="B190" s="201"/>
    </row>
    <row r="191" ht="22.5" customHeight="1">
      <c r="A191" s="201"/>
      <c r="B191" s="201"/>
    </row>
    <row r="192" ht="22.5" customHeight="1">
      <c r="A192" s="201"/>
      <c r="B192" s="201"/>
    </row>
    <row r="193" ht="22.5" customHeight="1">
      <c r="A193" s="201"/>
      <c r="B193" s="201"/>
    </row>
    <row r="194" ht="22.5" customHeight="1">
      <c r="A194" s="201"/>
      <c r="B194" s="201"/>
    </row>
    <row r="195" ht="22.5" customHeight="1">
      <c r="A195" s="201"/>
      <c r="B195" s="201"/>
    </row>
    <row r="196" ht="22.5" customHeight="1">
      <c r="A196" s="201"/>
      <c r="B196" s="201"/>
    </row>
    <row r="197" ht="22.5" customHeight="1">
      <c r="A197" s="201"/>
      <c r="B197" s="201"/>
    </row>
    <row r="198" ht="22.5" customHeight="1">
      <c r="A198" s="201"/>
      <c r="B198" s="201"/>
    </row>
    <row r="199" ht="22.5" customHeight="1">
      <c r="A199" s="201"/>
      <c r="B199" s="201"/>
    </row>
    <row r="200" ht="22.5" customHeight="1">
      <c r="A200" s="201"/>
      <c r="B200" s="201"/>
    </row>
    <row r="201" ht="22.5" customHeight="1">
      <c r="A201" s="201"/>
      <c r="B201" s="201"/>
    </row>
    <row r="202" ht="22.5" customHeight="1">
      <c r="A202" s="201"/>
      <c r="B202" s="201"/>
    </row>
    <row r="203" ht="22.5" customHeight="1">
      <c r="A203" s="201"/>
      <c r="B203" s="201"/>
    </row>
    <row r="204" ht="22.5" customHeight="1">
      <c r="A204" s="201"/>
      <c r="B204" s="201"/>
    </row>
    <row r="205" ht="22.5" customHeight="1">
      <c r="A205" s="201"/>
      <c r="B205" s="201"/>
    </row>
    <row r="206" ht="22.5" customHeight="1">
      <c r="A206" s="201"/>
      <c r="B206" s="201"/>
    </row>
    <row r="207" ht="22.5" customHeight="1">
      <c r="A207" s="201"/>
      <c r="B207" s="201"/>
    </row>
    <row r="208" ht="22.5" customHeight="1">
      <c r="A208" s="201"/>
      <c r="B208" s="201"/>
    </row>
    <row r="209" ht="22.5" customHeight="1">
      <c r="A209" s="201"/>
      <c r="B209" s="201"/>
    </row>
    <row r="210" ht="22.5" customHeight="1">
      <c r="A210" s="201"/>
      <c r="B210" s="201"/>
    </row>
    <row r="211" ht="22.5" customHeight="1">
      <c r="A211" s="201"/>
      <c r="B211" s="201"/>
    </row>
    <row r="212" ht="22.5" customHeight="1">
      <c r="A212" s="201"/>
      <c r="B212" s="201"/>
    </row>
    <row r="213" ht="22.5" customHeight="1">
      <c r="A213" s="201"/>
      <c r="B213" s="201"/>
    </row>
    <row r="214" ht="22.5" customHeight="1">
      <c r="A214" s="201"/>
      <c r="B214" s="201"/>
    </row>
    <row r="215" ht="22.5" customHeight="1">
      <c r="A215" s="201"/>
      <c r="B215" s="201"/>
    </row>
    <row r="216" ht="22.5" customHeight="1">
      <c r="A216" s="201"/>
      <c r="B216" s="201"/>
    </row>
    <row r="217" ht="22.5" customHeight="1">
      <c r="A217" s="201"/>
      <c r="B217" s="201"/>
    </row>
    <row r="218" ht="22.5" customHeight="1">
      <c r="A218" s="201"/>
      <c r="B218" s="201"/>
    </row>
    <row r="219" ht="22.5" customHeight="1">
      <c r="A219" s="201"/>
      <c r="B219" s="201"/>
    </row>
    <row r="220" ht="22.5" customHeight="1">
      <c r="A220" s="201"/>
      <c r="B220" s="201"/>
    </row>
    <row r="221" ht="22.5" customHeight="1">
      <c r="A221" s="201"/>
      <c r="B221" s="201"/>
    </row>
    <row r="222" ht="22.5" customHeight="1">
      <c r="A222" s="201"/>
      <c r="B222" s="201"/>
    </row>
    <row r="223" ht="22.5" customHeight="1">
      <c r="A223" s="201"/>
      <c r="B223" s="201"/>
    </row>
    <row r="224" ht="22.5" customHeight="1">
      <c r="A224" s="201"/>
      <c r="B224" s="201"/>
    </row>
    <row r="225" ht="22.5" customHeight="1">
      <c r="A225" s="201"/>
      <c r="B225" s="201"/>
    </row>
    <row r="226" ht="22.5" customHeight="1">
      <c r="A226" s="201"/>
      <c r="B226" s="201"/>
    </row>
    <row r="227" ht="22.5" customHeight="1">
      <c r="A227" s="201"/>
      <c r="B227" s="201"/>
    </row>
    <row r="228" ht="22.5" customHeight="1">
      <c r="A228" s="201"/>
      <c r="B228" s="201"/>
    </row>
    <row r="229" ht="22.5" customHeight="1">
      <c r="A229" s="201"/>
      <c r="B229" s="201"/>
    </row>
    <row r="230" ht="22.5" customHeight="1">
      <c r="A230" s="201"/>
      <c r="B230" s="201"/>
    </row>
    <row r="231" ht="22.5" customHeight="1">
      <c r="A231" s="201"/>
      <c r="B231" s="201"/>
    </row>
    <row r="232" ht="22.5" customHeight="1">
      <c r="A232" s="201"/>
      <c r="B232" s="201"/>
    </row>
    <row r="233" ht="22.5" customHeight="1">
      <c r="A233" s="201"/>
      <c r="B233" s="201"/>
    </row>
    <row r="234" ht="22.5" customHeight="1">
      <c r="A234" s="201"/>
      <c r="B234" s="201"/>
    </row>
    <row r="235" ht="22.5" customHeight="1">
      <c r="A235" s="201"/>
      <c r="B235" s="201"/>
    </row>
    <row r="236" ht="22.5" customHeight="1">
      <c r="A236" s="201"/>
      <c r="B236" s="201"/>
    </row>
    <row r="237" ht="22.5" customHeight="1">
      <c r="A237" s="201"/>
      <c r="B237" s="201"/>
    </row>
    <row r="238" ht="22.5" customHeight="1">
      <c r="A238" s="201"/>
      <c r="B238" s="201"/>
    </row>
    <row r="239" ht="22.5" customHeight="1">
      <c r="A239" s="201"/>
      <c r="B239" s="201"/>
    </row>
    <row r="240" ht="22.5" customHeight="1">
      <c r="A240" s="201"/>
      <c r="B240" s="201"/>
    </row>
    <row r="241" ht="22.5" customHeight="1">
      <c r="A241" s="201"/>
      <c r="B241" s="201"/>
    </row>
    <row r="242" ht="22.5" customHeight="1">
      <c r="A242" s="201"/>
      <c r="B242" s="201"/>
    </row>
    <row r="243" ht="22.5" customHeight="1">
      <c r="A243" s="201"/>
      <c r="B243" s="201"/>
    </row>
    <row r="244" ht="22.5" customHeight="1">
      <c r="A244" s="201"/>
      <c r="B244" s="201"/>
    </row>
    <row r="245" ht="22.5" customHeight="1">
      <c r="A245" s="201"/>
      <c r="B245" s="201"/>
    </row>
    <row r="246" ht="22.5" customHeight="1">
      <c r="A246" s="201"/>
      <c r="B246" s="201"/>
    </row>
    <row r="247" ht="22.5" customHeight="1">
      <c r="A247" s="201"/>
      <c r="B247" s="201"/>
    </row>
    <row r="248" ht="22.5" customHeight="1">
      <c r="A248" s="201"/>
      <c r="B248" s="201"/>
    </row>
    <row r="249" ht="22.5" customHeight="1">
      <c r="A249" s="201"/>
      <c r="B249" s="201"/>
    </row>
    <row r="250" ht="22.5" customHeight="1">
      <c r="A250" s="201"/>
      <c r="B250" s="201"/>
    </row>
    <row r="251" ht="22.5" customHeight="1">
      <c r="A251" s="201"/>
      <c r="B251" s="201"/>
    </row>
    <row r="252" ht="22.5" customHeight="1">
      <c r="A252" s="201"/>
      <c r="B252" s="201"/>
    </row>
    <row r="253" ht="22.5" customHeight="1">
      <c r="A253" s="201"/>
      <c r="B253" s="201"/>
    </row>
    <row r="254" ht="22.5" customHeight="1">
      <c r="A254" s="201"/>
      <c r="B254" s="201"/>
    </row>
    <row r="255" ht="22.5" customHeight="1">
      <c r="A255" s="201"/>
      <c r="B255" s="201"/>
    </row>
    <row r="256" ht="22.5" customHeight="1">
      <c r="A256" s="201"/>
      <c r="B256" s="201"/>
    </row>
    <row r="257" ht="22.5" customHeight="1">
      <c r="A257" s="201"/>
      <c r="B257" s="201"/>
    </row>
    <row r="258" ht="22.5" customHeight="1">
      <c r="A258" s="201"/>
      <c r="B258" s="201"/>
    </row>
    <row r="259" ht="22.5" customHeight="1">
      <c r="A259" s="201"/>
      <c r="B259" s="201"/>
    </row>
    <row r="260" ht="22.5" customHeight="1">
      <c r="A260" s="201"/>
      <c r="B260" s="201"/>
    </row>
    <row r="261" ht="22.5" customHeight="1">
      <c r="A261" s="201"/>
      <c r="B261" s="201"/>
    </row>
    <row r="262" ht="22.5" customHeight="1">
      <c r="A262" s="201"/>
      <c r="B262" s="201"/>
    </row>
    <row r="263" ht="22.5" customHeight="1">
      <c r="A263" s="201"/>
      <c r="B263" s="201"/>
    </row>
    <row r="264" ht="22.5" customHeight="1">
      <c r="A264" s="201"/>
      <c r="B264" s="201"/>
    </row>
    <row r="265" ht="22.5" customHeight="1">
      <c r="A265" s="201"/>
      <c r="B265" s="201"/>
    </row>
    <row r="266" ht="22.5" customHeight="1">
      <c r="A266" s="201"/>
      <c r="B266" s="201"/>
    </row>
    <row r="267" ht="22.5" customHeight="1">
      <c r="A267" s="201"/>
      <c r="B267" s="201"/>
    </row>
    <row r="268" ht="22.5" customHeight="1">
      <c r="A268" s="201"/>
      <c r="B268" s="201"/>
    </row>
    <row r="269" ht="22.5" customHeight="1">
      <c r="A269" s="201"/>
      <c r="B269" s="201"/>
    </row>
    <row r="270" ht="22.5" customHeight="1">
      <c r="A270" s="201"/>
      <c r="B270" s="201"/>
    </row>
    <row r="271" ht="22.5" customHeight="1">
      <c r="A271" s="201"/>
      <c r="B271" s="201"/>
    </row>
    <row r="272" ht="22.5" customHeight="1">
      <c r="A272" s="201"/>
      <c r="B272" s="201"/>
    </row>
    <row r="273" ht="22.5" customHeight="1">
      <c r="A273" s="201"/>
      <c r="B273" s="201"/>
    </row>
    <row r="274" ht="22.5" customHeight="1">
      <c r="A274" s="201"/>
      <c r="B274" s="201"/>
    </row>
    <row r="275" ht="22.5" customHeight="1">
      <c r="A275" s="201"/>
      <c r="B275" s="201"/>
    </row>
    <row r="276" ht="22.5" customHeight="1">
      <c r="A276" s="201"/>
      <c r="B276" s="201"/>
    </row>
    <row r="277" ht="22.5" customHeight="1">
      <c r="A277" s="201"/>
      <c r="B277" s="201"/>
    </row>
    <row r="278" ht="22.5" customHeight="1">
      <c r="A278" s="201"/>
      <c r="B278" s="201"/>
    </row>
    <row r="279" ht="22.5" customHeight="1">
      <c r="A279" s="201"/>
      <c r="B279" s="201"/>
    </row>
    <row r="280" ht="22.5" customHeight="1">
      <c r="A280" s="201"/>
      <c r="B280" s="201"/>
    </row>
    <row r="281" ht="22.5" customHeight="1">
      <c r="A281" s="201"/>
      <c r="B281" s="201"/>
    </row>
    <row r="282" ht="22.5" customHeight="1">
      <c r="A282" s="201"/>
      <c r="B282" s="201"/>
    </row>
    <row r="283" ht="22.5" customHeight="1">
      <c r="A283" s="201"/>
      <c r="B283" s="201"/>
    </row>
    <row r="284" ht="22.5" customHeight="1">
      <c r="A284" s="201"/>
      <c r="B284" s="201"/>
    </row>
    <row r="285" ht="22.5" customHeight="1">
      <c r="A285" s="201"/>
      <c r="B285" s="201"/>
    </row>
    <row r="286" ht="22.5" customHeight="1">
      <c r="A286" s="201"/>
      <c r="B286" s="201"/>
    </row>
    <row r="287" ht="22.5" customHeight="1">
      <c r="A287" s="201"/>
      <c r="B287" s="201"/>
    </row>
    <row r="288" ht="22.5" customHeight="1">
      <c r="A288" s="201"/>
      <c r="B288" s="201"/>
    </row>
    <row r="289" ht="22.5" customHeight="1">
      <c r="A289" s="201"/>
      <c r="B289" s="201"/>
    </row>
    <row r="290" ht="22.5" customHeight="1">
      <c r="A290" s="201"/>
      <c r="B290" s="201"/>
    </row>
    <row r="291" ht="22.5" customHeight="1">
      <c r="A291" s="201"/>
      <c r="B291" s="201"/>
    </row>
    <row r="292" ht="22.5" customHeight="1">
      <c r="A292" s="201"/>
      <c r="B292" s="201"/>
    </row>
    <row r="293" ht="22.5" customHeight="1">
      <c r="A293" s="201"/>
      <c r="B293" s="201"/>
    </row>
    <row r="294" ht="22.5" customHeight="1">
      <c r="A294" s="201"/>
      <c r="B294" s="201"/>
    </row>
    <row r="295" ht="22.5" customHeight="1">
      <c r="A295" s="201"/>
      <c r="B295" s="201"/>
    </row>
    <row r="296" ht="22.5" customHeight="1">
      <c r="A296" s="201"/>
      <c r="B296" s="201"/>
    </row>
    <row r="297" ht="22.5" customHeight="1">
      <c r="A297" s="201"/>
      <c r="B297" s="201"/>
    </row>
    <row r="298" ht="22.5" customHeight="1">
      <c r="A298" s="201"/>
      <c r="B298" s="201"/>
    </row>
    <row r="299" ht="22.5" customHeight="1">
      <c r="A299" s="201"/>
      <c r="B299" s="201"/>
    </row>
    <row r="300" ht="22.5" customHeight="1">
      <c r="A300" s="201"/>
      <c r="B300" s="201"/>
    </row>
    <row r="301" ht="22.5" customHeight="1">
      <c r="A301" s="201"/>
      <c r="B301" s="201"/>
    </row>
    <row r="302" ht="22.5" customHeight="1">
      <c r="A302" s="201"/>
      <c r="B302" s="201"/>
    </row>
    <row r="303" ht="22.5" customHeight="1">
      <c r="A303" s="201"/>
      <c r="B303" s="201"/>
    </row>
    <row r="304" ht="22.5" customHeight="1">
      <c r="A304" s="201"/>
      <c r="B304" s="201"/>
    </row>
    <row r="305" ht="22.5" customHeight="1">
      <c r="A305" s="201"/>
      <c r="B305" s="201"/>
    </row>
    <row r="306" ht="22.5" customHeight="1">
      <c r="A306" s="201"/>
      <c r="B306" s="201"/>
    </row>
    <row r="307" ht="22.5" customHeight="1">
      <c r="A307" s="201"/>
      <c r="B307" s="201"/>
    </row>
    <row r="308" ht="22.5" customHeight="1">
      <c r="A308" s="201"/>
      <c r="B308" s="201"/>
    </row>
    <row r="309" ht="22.5" customHeight="1">
      <c r="A309" s="201"/>
      <c r="B309" s="201"/>
    </row>
    <row r="310" ht="22.5" customHeight="1">
      <c r="A310" s="201"/>
      <c r="B310" s="201"/>
    </row>
    <row r="311" ht="22.5" customHeight="1">
      <c r="A311" s="201"/>
      <c r="B311" s="201"/>
    </row>
    <row r="312" ht="22.5" customHeight="1">
      <c r="A312" s="201"/>
      <c r="B312" s="201"/>
    </row>
    <row r="313" ht="22.5" customHeight="1">
      <c r="A313" s="201"/>
      <c r="B313" s="201"/>
    </row>
    <row r="314" ht="22.5" customHeight="1">
      <c r="A314" s="201"/>
      <c r="B314" s="201"/>
    </row>
    <row r="315" ht="22.5" customHeight="1">
      <c r="A315" s="201"/>
      <c r="B315" s="201"/>
    </row>
    <row r="316" ht="22.5" customHeight="1">
      <c r="A316" s="201"/>
      <c r="B316" s="201"/>
    </row>
    <row r="317" ht="22.5" customHeight="1">
      <c r="A317" s="201"/>
      <c r="B317" s="201"/>
    </row>
    <row r="318" ht="22.5" customHeight="1">
      <c r="A318" s="201"/>
      <c r="B318" s="201"/>
    </row>
    <row r="319" ht="22.5" customHeight="1">
      <c r="A319" s="201"/>
      <c r="B319" s="201"/>
    </row>
    <row r="320" ht="22.5" customHeight="1">
      <c r="A320" s="201"/>
      <c r="B320" s="201"/>
    </row>
    <row r="321" ht="22.5" customHeight="1">
      <c r="A321" s="201"/>
      <c r="B321" s="201"/>
    </row>
    <row r="322" ht="22.5" customHeight="1">
      <c r="A322" s="201"/>
      <c r="B322" s="201"/>
    </row>
    <row r="323" ht="22.5" customHeight="1">
      <c r="A323" s="201"/>
      <c r="B323" s="201"/>
    </row>
    <row r="324" ht="22.5" customHeight="1">
      <c r="A324" s="201"/>
      <c r="B324" s="201"/>
    </row>
    <row r="325" ht="22.5" customHeight="1">
      <c r="A325" s="201"/>
      <c r="B325" s="201"/>
    </row>
    <row r="326" ht="22.5" customHeight="1">
      <c r="A326" s="201"/>
      <c r="B326" s="201"/>
    </row>
    <row r="327" ht="22.5" customHeight="1">
      <c r="A327" s="201"/>
      <c r="B327" s="201"/>
    </row>
    <row r="328" ht="22.5" customHeight="1">
      <c r="A328" s="201"/>
      <c r="B328" s="201"/>
    </row>
    <row r="329" ht="22.5" customHeight="1">
      <c r="A329" s="201"/>
      <c r="B329" s="201"/>
    </row>
    <row r="330" ht="22.5" customHeight="1">
      <c r="A330" s="201"/>
      <c r="B330" s="201"/>
    </row>
    <row r="331" ht="22.5" customHeight="1">
      <c r="A331" s="201"/>
      <c r="B331" s="201"/>
    </row>
    <row r="332" ht="22.5" customHeight="1">
      <c r="A332" s="201"/>
      <c r="B332" s="201"/>
    </row>
    <row r="333" ht="22.5" customHeight="1">
      <c r="A333" s="201"/>
      <c r="B333" s="201"/>
    </row>
    <row r="334" ht="22.5" customHeight="1">
      <c r="A334" s="201"/>
      <c r="B334" s="201"/>
    </row>
    <row r="335" ht="22.5" customHeight="1">
      <c r="A335" s="201"/>
      <c r="B335" s="201"/>
    </row>
    <row r="336" ht="22.5" customHeight="1">
      <c r="A336" s="201"/>
      <c r="B336" s="201"/>
    </row>
    <row r="337" ht="22.5" customHeight="1">
      <c r="A337" s="201"/>
      <c r="B337" s="201"/>
    </row>
    <row r="338" ht="22.5" customHeight="1">
      <c r="A338" s="201"/>
      <c r="B338" s="201"/>
    </row>
    <row r="339" ht="22.5" customHeight="1">
      <c r="A339" s="201"/>
      <c r="B339" s="201"/>
    </row>
    <row r="340" ht="22.5" customHeight="1">
      <c r="A340" s="201"/>
      <c r="B340" s="201"/>
    </row>
    <row r="341" ht="22.5" customHeight="1">
      <c r="A341" s="201"/>
      <c r="B341" s="201"/>
    </row>
    <row r="342" ht="22.5" customHeight="1">
      <c r="A342" s="201"/>
      <c r="B342" s="201"/>
    </row>
    <row r="343" ht="22.5" customHeight="1">
      <c r="A343" s="201"/>
      <c r="B343" s="201"/>
    </row>
    <row r="344" ht="22.5" customHeight="1">
      <c r="A344" s="201"/>
      <c r="B344" s="201"/>
    </row>
    <row r="345" ht="22.5" customHeight="1">
      <c r="A345" s="201"/>
      <c r="B345" s="201"/>
    </row>
    <row r="346" ht="22.5" customHeight="1">
      <c r="A346" s="201"/>
      <c r="B346" s="201"/>
    </row>
    <row r="347" ht="22.5" customHeight="1">
      <c r="A347" s="201"/>
      <c r="B347" s="201"/>
    </row>
    <row r="348" ht="22.5" customHeight="1">
      <c r="A348" s="201"/>
      <c r="B348" s="201"/>
    </row>
    <row r="349" ht="22.5" customHeight="1">
      <c r="A349" s="201"/>
      <c r="B349" s="201"/>
    </row>
    <row r="350" ht="22.5" customHeight="1">
      <c r="A350" s="201"/>
      <c r="B350" s="201"/>
    </row>
    <row r="351" ht="22.5" customHeight="1">
      <c r="A351" s="201"/>
      <c r="B351" s="201"/>
    </row>
    <row r="352" ht="22.5" customHeight="1">
      <c r="A352" s="201"/>
      <c r="B352" s="201"/>
    </row>
    <row r="353" ht="22.5" customHeight="1">
      <c r="A353" s="201"/>
      <c r="B353" s="201"/>
    </row>
    <row r="354" ht="22.5" customHeight="1">
      <c r="A354" s="201"/>
      <c r="B354" s="201"/>
    </row>
    <row r="355" ht="22.5" customHeight="1">
      <c r="A355" s="201"/>
      <c r="B355" s="201"/>
    </row>
    <row r="356" ht="22.5" customHeight="1">
      <c r="A356" s="201"/>
      <c r="B356" s="201"/>
    </row>
    <row r="357" ht="22.5" customHeight="1">
      <c r="A357" s="201"/>
      <c r="B357" s="201"/>
    </row>
    <row r="358" ht="22.5" customHeight="1">
      <c r="A358" s="201"/>
      <c r="B358" s="201"/>
    </row>
    <row r="359" ht="22.5" customHeight="1">
      <c r="A359" s="201"/>
      <c r="B359" s="201"/>
    </row>
    <row r="360" ht="22.5" customHeight="1">
      <c r="A360" s="201"/>
      <c r="B360" s="201"/>
    </row>
    <row r="361" ht="22.5" customHeight="1">
      <c r="A361" s="201"/>
      <c r="B361" s="201"/>
    </row>
    <row r="362" ht="22.5" customHeight="1">
      <c r="A362" s="201"/>
      <c r="B362" s="201"/>
    </row>
    <row r="363" ht="22.5" customHeight="1">
      <c r="A363" s="201"/>
      <c r="B363" s="201"/>
    </row>
    <row r="364" ht="22.5" customHeight="1">
      <c r="A364" s="201"/>
      <c r="B364" s="201"/>
    </row>
    <row r="365" ht="22.5" customHeight="1">
      <c r="A365" s="201"/>
      <c r="B365" s="201"/>
    </row>
    <row r="366" ht="22.5" customHeight="1">
      <c r="A366" s="201"/>
      <c r="B366" s="201"/>
    </row>
    <row r="367" ht="22.5" customHeight="1">
      <c r="A367" s="201"/>
      <c r="B367" s="201"/>
    </row>
    <row r="368" ht="22.5" customHeight="1">
      <c r="A368" s="201"/>
      <c r="B368" s="201"/>
    </row>
    <row r="369" ht="22.5" customHeight="1">
      <c r="A369" s="201"/>
      <c r="B369" s="201"/>
    </row>
    <row r="370" ht="22.5" customHeight="1">
      <c r="A370" s="201"/>
      <c r="B370" s="201"/>
    </row>
    <row r="371" ht="22.5" customHeight="1">
      <c r="A371" s="201"/>
      <c r="B371" s="201"/>
    </row>
    <row r="372" ht="22.5" customHeight="1">
      <c r="A372" s="201"/>
      <c r="B372" s="201"/>
    </row>
    <row r="373" ht="22.5" customHeight="1">
      <c r="A373" s="201"/>
      <c r="B373" s="201"/>
    </row>
    <row r="374" ht="22.5" customHeight="1">
      <c r="A374" s="201"/>
      <c r="B374" s="201"/>
    </row>
    <row r="375" ht="22.5" customHeight="1">
      <c r="A375" s="201"/>
      <c r="B375" s="201"/>
    </row>
    <row r="376" ht="22.5" customHeight="1">
      <c r="A376" s="201"/>
      <c r="B376" s="201"/>
    </row>
    <row r="377" ht="22.5" customHeight="1">
      <c r="A377" s="201"/>
      <c r="B377" s="201"/>
    </row>
    <row r="378" ht="22.5" customHeight="1">
      <c r="A378" s="201"/>
      <c r="B378" s="201"/>
    </row>
    <row r="379" ht="22.5" customHeight="1">
      <c r="A379" s="201"/>
      <c r="B379" s="201"/>
    </row>
    <row r="380" ht="22.5" customHeight="1">
      <c r="A380" s="201"/>
      <c r="B380" s="201"/>
    </row>
    <row r="381" ht="22.5" customHeight="1">
      <c r="A381" s="201"/>
      <c r="B381" s="201"/>
    </row>
    <row r="382" ht="22.5" customHeight="1">
      <c r="A382" s="201"/>
      <c r="B382" s="201"/>
    </row>
    <row r="383" ht="22.5" customHeight="1">
      <c r="A383" s="201"/>
      <c r="B383" s="201"/>
    </row>
    <row r="384" ht="22.5" customHeight="1">
      <c r="A384" s="201"/>
      <c r="B384" s="201"/>
    </row>
    <row r="385" ht="22.5" customHeight="1">
      <c r="A385" s="201"/>
      <c r="B385" s="201"/>
    </row>
    <row r="386" ht="22.5" customHeight="1">
      <c r="A386" s="201"/>
      <c r="B386" s="201"/>
    </row>
    <row r="387" ht="22.5" customHeight="1">
      <c r="A387" s="201"/>
      <c r="B387" s="201"/>
    </row>
    <row r="388" ht="22.5" customHeight="1">
      <c r="A388" s="201"/>
      <c r="B388" s="201"/>
    </row>
    <row r="389" ht="22.5" customHeight="1">
      <c r="A389" s="201"/>
      <c r="B389" s="201"/>
    </row>
    <row r="390" ht="22.5" customHeight="1">
      <c r="A390" s="201"/>
      <c r="B390" s="201"/>
    </row>
    <row r="391" ht="22.5" customHeight="1">
      <c r="A391" s="201"/>
      <c r="B391" s="201"/>
    </row>
    <row r="392" ht="22.5" customHeight="1">
      <c r="A392" s="201"/>
      <c r="B392" s="201"/>
    </row>
    <row r="393" ht="22.5" customHeight="1">
      <c r="A393" s="201"/>
      <c r="B393" s="201"/>
    </row>
    <row r="394" ht="22.5" customHeight="1">
      <c r="A394" s="201"/>
      <c r="B394" s="201"/>
    </row>
    <row r="395" ht="22.5" customHeight="1">
      <c r="A395" s="201"/>
      <c r="B395" s="201"/>
    </row>
    <row r="396" ht="22.5" customHeight="1">
      <c r="A396" s="201"/>
      <c r="B396" s="201"/>
    </row>
    <row r="397" ht="22.5" customHeight="1">
      <c r="A397" s="201"/>
      <c r="B397" s="201"/>
    </row>
    <row r="398" ht="22.5" customHeight="1">
      <c r="A398" s="201"/>
      <c r="B398" s="201"/>
    </row>
    <row r="399" ht="22.5" customHeight="1">
      <c r="A399" s="201"/>
      <c r="B399" s="201"/>
    </row>
    <row r="400" ht="22.5" customHeight="1">
      <c r="A400" s="201"/>
      <c r="B400" s="201"/>
    </row>
    <row r="401" ht="22.5" customHeight="1">
      <c r="A401" s="201"/>
      <c r="B401" s="201"/>
    </row>
    <row r="402" ht="22.5" customHeight="1">
      <c r="A402" s="201"/>
      <c r="B402" s="201"/>
    </row>
    <row r="403" ht="22.5" customHeight="1">
      <c r="A403" s="201"/>
      <c r="B403" s="201"/>
    </row>
    <row r="404" ht="22.5" customHeight="1">
      <c r="A404" s="201"/>
      <c r="B404" s="201"/>
    </row>
    <row r="405" ht="22.5" customHeight="1">
      <c r="A405" s="201"/>
      <c r="B405" s="201"/>
    </row>
    <row r="406" ht="22.5" customHeight="1">
      <c r="A406" s="201"/>
      <c r="B406" s="201"/>
    </row>
    <row r="407" ht="22.5" customHeight="1">
      <c r="A407" s="201"/>
      <c r="B407" s="201"/>
    </row>
    <row r="408" ht="22.5" customHeight="1">
      <c r="A408" s="201"/>
      <c r="B408" s="201"/>
    </row>
    <row r="409" ht="22.5" customHeight="1">
      <c r="A409" s="201"/>
      <c r="B409" s="201"/>
    </row>
    <row r="410" ht="22.5" customHeight="1">
      <c r="A410" s="201"/>
      <c r="B410" s="201"/>
    </row>
    <row r="411" ht="22.5" customHeight="1">
      <c r="A411" s="201"/>
      <c r="B411" s="201"/>
    </row>
    <row r="412" ht="22.5" customHeight="1">
      <c r="A412" s="201"/>
      <c r="B412" s="201"/>
    </row>
    <row r="413" ht="22.5" customHeight="1">
      <c r="A413" s="201"/>
      <c r="B413" s="201"/>
    </row>
    <row r="414" ht="22.5" customHeight="1">
      <c r="A414" s="201"/>
      <c r="B414" s="201"/>
    </row>
    <row r="415" ht="22.5" customHeight="1">
      <c r="A415" s="201"/>
      <c r="B415" s="201"/>
    </row>
    <row r="416" ht="22.5" customHeight="1">
      <c r="A416" s="201"/>
      <c r="B416" s="201"/>
    </row>
    <row r="417" ht="22.5" customHeight="1">
      <c r="A417" s="201"/>
      <c r="B417" s="201"/>
    </row>
    <row r="418" ht="22.5" customHeight="1">
      <c r="A418" s="201"/>
      <c r="B418" s="201"/>
    </row>
    <row r="419" ht="22.5" customHeight="1">
      <c r="A419" s="201"/>
      <c r="B419" s="201"/>
    </row>
    <row r="420" ht="22.5" customHeight="1">
      <c r="A420" s="201"/>
      <c r="B420" s="201"/>
    </row>
    <row r="421" ht="22.5" customHeight="1">
      <c r="A421" s="201"/>
      <c r="B421" s="201"/>
    </row>
    <row r="422" ht="22.5" customHeight="1">
      <c r="A422" s="201"/>
      <c r="B422" s="201"/>
    </row>
    <row r="423" ht="22.5" customHeight="1">
      <c r="A423" s="201"/>
      <c r="B423" s="201"/>
    </row>
    <row r="424" ht="22.5" customHeight="1">
      <c r="A424" s="201"/>
      <c r="B424" s="201"/>
    </row>
    <row r="425" ht="22.5" customHeight="1">
      <c r="A425" s="201"/>
      <c r="B425" s="201"/>
    </row>
    <row r="426" ht="22.5" customHeight="1">
      <c r="A426" s="201"/>
      <c r="B426" s="201"/>
    </row>
    <row r="427" ht="22.5" customHeight="1">
      <c r="A427" s="201"/>
      <c r="B427" s="201"/>
    </row>
    <row r="428" ht="22.5" customHeight="1">
      <c r="A428" s="201"/>
      <c r="B428" s="201"/>
    </row>
    <row r="429" ht="22.5" customHeight="1">
      <c r="A429" s="201"/>
      <c r="B429" s="201"/>
    </row>
    <row r="430" ht="22.5" customHeight="1">
      <c r="A430" s="201"/>
      <c r="B430" s="201"/>
    </row>
    <row r="431" ht="22.5" customHeight="1">
      <c r="A431" s="201"/>
      <c r="B431" s="201"/>
    </row>
    <row r="432" ht="22.5" customHeight="1">
      <c r="A432" s="201"/>
      <c r="B432" s="201"/>
    </row>
    <row r="433" ht="22.5" customHeight="1">
      <c r="A433" s="201"/>
      <c r="B433" s="201"/>
    </row>
    <row r="434" ht="22.5" customHeight="1">
      <c r="A434" s="201"/>
      <c r="B434" s="201"/>
    </row>
    <row r="435" ht="22.5" customHeight="1">
      <c r="A435" s="201"/>
      <c r="B435" s="201"/>
    </row>
    <row r="436" ht="22.5" customHeight="1">
      <c r="A436" s="201"/>
      <c r="B436" s="201"/>
    </row>
    <row r="437" ht="22.5" customHeight="1">
      <c r="A437" s="201"/>
      <c r="B437" s="201"/>
    </row>
    <row r="438" ht="22.5" customHeight="1">
      <c r="A438" s="201"/>
      <c r="B438" s="201"/>
    </row>
    <row r="439" ht="22.5" customHeight="1">
      <c r="A439" s="201"/>
      <c r="B439" s="201"/>
    </row>
    <row r="440" ht="22.5" customHeight="1">
      <c r="A440" s="201"/>
      <c r="B440" s="201"/>
    </row>
    <row r="441" ht="22.5" customHeight="1">
      <c r="A441" s="201"/>
      <c r="B441" s="201"/>
    </row>
    <row r="442" ht="22.5" customHeight="1">
      <c r="A442" s="201"/>
      <c r="B442" s="201"/>
    </row>
    <row r="443" ht="22.5" customHeight="1">
      <c r="A443" s="201"/>
      <c r="B443" s="201"/>
    </row>
    <row r="444" ht="22.5" customHeight="1">
      <c r="A444" s="201"/>
      <c r="B444" s="201"/>
    </row>
    <row r="445" ht="22.5" customHeight="1">
      <c r="A445" s="201"/>
      <c r="B445" s="201"/>
    </row>
    <row r="446" ht="22.5" customHeight="1">
      <c r="A446" s="201"/>
      <c r="B446" s="201"/>
    </row>
    <row r="447" ht="22.5" customHeight="1">
      <c r="A447" s="201"/>
      <c r="B447" s="201"/>
    </row>
    <row r="448" ht="22.5" customHeight="1">
      <c r="A448" s="201"/>
      <c r="B448" s="201"/>
    </row>
    <row r="449" ht="22.5" customHeight="1">
      <c r="A449" s="201"/>
      <c r="B449" s="201"/>
    </row>
    <row r="450" ht="22.5" customHeight="1">
      <c r="A450" s="201"/>
      <c r="B450" s="201"/>
    </row>
    <row r="451" ht="22.5" customHeight="1">
      <c r="A451" s="201"/>
      <c r="B451" s="201"/>
    </row>
    <row r="452" ht="22.5" customHeight="1">
      <c r="A452" s="201"/>
      <c r="B452" s="201"/>
    </row>
    <row r="453" ht="22.5" customHeight="1">
      <c r="A453" s="201"/>
      <c r="B453" s="201"/>
    </row>
    <row r="454" ht="22.5" customHeight="1">
      <c r="A454" s="201"/>
      <c r="B454" s="201"/>
    </row>
    <row r="455" ht="22.5" customHeight="1">
      <c r="A455" s="201"/>
      <c r="B455" s="201"/>
    </row>
    <row r="456" ht="22.5" customHeight="1">
      <c r="A456" s="201"/>
      <c r="B456" s="201"/>
    </row>
    <row r="457" ht="22.5" customHeight="1">
      <c r="A457" s="201"/>
      <c r="B457" s="201"/>
    </row>
    <row r="458" ht="22.5" customHeight="1">
      <c r="A458" s="201"/>
      <c r="B458" s="201"/>
    </row>
    <row r="459" ht="22.5" customHeight="1">
      <c r="A459" s="201"/>
      <c r="B459" s="201"/>
    </row>
    <row r="460" ht="22.5" customHeight="1">
      <c r="A460" s="201"/>
      <c r="B460" s="201"/>
    </row>
    <row r="461" ht="22.5" customHeight="1">
      <c r="A461" s="201"/>
      <c r="B461" s="201"/>
    </row>
    <row r="462" ht="22.5" customHeight="1">
      <c r="A462" s="201"/>
      <c r="B462" s="201"/>
    </row>
    <row r="463" ht="22.5" customHeight="1">
      <c r="A463" s="201"/>
      <c r="B463" s="201"/>
    </row>
    <row r="464" ht="22.5" customHeight="1">
      <c r="A464" s="201"/>
      <c r="B464" s="201"/>
    </row>
    <row r="465" ht="22.5" customHeight="1">
      <c r="A465" s="201"/>
      <c r="B465" s="201"/>
    </row>
    <row r="466" ht="22.5" customHeight="1">
      <c r="A466" s="201"/>
      <c r="B466" s="201"/>
    </row>
    <row r="467" ht="22.5" customHeight="1">
      <c r="A467" s="201"/>
      <c r="B467" s="201"/>
    </row>
    <row r="468" ht="22.5" customHeight="1">
      <c r="A468" s="201"/>
      <c r="B468" s="201"/>
    </row>
    <row r="469" ht="22.5" customHeight="1">
      <c r="A469" s="201"/>
      <c r="B469" s="201"/>
    </row>
    <row r="470" ht="22.5" customHeight="1">
      <c r="A470" s="201"/>
      <c r="B470" s="201"/>
    </row>
    <row r="471" ht="22.5" customHeight="1">
      <c r="A471" s="201"/>
      <c r="B471" s="201"/>
    </row>
    <row r="472" ht="22.5" customHeight="1">
      <c r="A472" s="201"/>
      <c r="B472" s="201"/>
    </row>
    <row r="473" ht="22.5" customHeight="1">
      <c r="A473" s="201"/>
      <c r="B473" s="201"/>
    </row>
    <row r="474" ht="22.5" customHeight="1">
      <c r="A474" s="201"/>
      <c r="B474" s="201"/>
    </row>
    <row r="475" ht="22.5" customHeight="1">
      <c r="A475" s="201"/>
      <c r="B475" s="201"/>
    </row>
    <row r="476" ht="22.5" customHeight="1">
      <c r="A476" s="201"/>
      <c r="B476" s="201"/>
    </row>
    <row r="477" ht="22.5" customHeight="1">
      <c r="A477" s="201"/>
      <c r="B477" s="201"/>
    </row>
    <row r="478" ht="22.5" customHeight="1">
      <c r="A478" s="201"/>
      <c r="B478" s="201"/>
    </row>
    <row r="479" ht="22.5" customHeight="1">
      <c r="A479" s="201"/>
      <c r="B479" s="201"/>
    </row>
    <row r="480" ht="22.5" customHeight="1">
      <c r="A480" s="201"/>
      <c r="B480" s="201"/>
    </row>
    <row r="481" ht="22.5" customHeight="1">
      <c r="A481" s="201"/>
      <c r="B481" s="201"/>
    </row>
    <row r="482" ht="22.5" customHeight="1">
      <c r="A482" s="201"/>
      <c r="B482" s="201"/>
    </row>
    <row r="483" ht="22.5" customHeight="1">
      <c r="A483" s="201"/>
      <c r="B483" s="201"/>
    </row>
    <row r="484" ht="22.5" customHeight="1">
      <c r="A484" s="201"/>
      <c r="B484" s="201"/>
    </row>
    <row r="485" ht="22.5" customHeight="1">
      <c r="A485" s="201"/>
      <c r="B485" s="201"/>
    </row>
    <row r="486" ht="22.5" customHeight="1">
      <c r="A486" s="201"/>
      <c r="B486" s="201"/>
    </row>
    <row r="487" ht="22.5" customHeight="1">
      <c r="A487" s="201"/>
      <c r="B487" s="201"/>
    </row>
    <row r="488" ht="22.5" customHeight="1">
      <c r="A488" s="201"/>
      <c r="B488" s="201"/>
    </row>
    <row r="489" ht="22.5" customHeight="1">
      <c r="A489" s="201"/>
      <c r="B489" s="201"/>
    </row>
    <row r="490" ht="22.5" customHeight="1">
      <c r="A490" s="201"/>
      <c r="B490" s="201"/>
    </row>
    <row r="491" ht="22.5" customHeight="1">
      <c r="A491" s="201"/>
      <c r="B491" s="201"/>
    </row>
    <row r="492" ht="22.5" customHeight="1">
      <c r="A492" s="201"/>
      <c r="B492" s="201"/>
    </row>
    <row r="493" ht="22.5" customHeight="1">
      <c r="A493" s="201"/>
      <c r="B493" s="201"/>
    </row>
    <row r="494" ht="22.5" customHeight="1">
      <c r="A494" s="201"/>
      <c r="B494" s="201"/>
    </row>
    <row r="495" ht="22.5" customHeight="1">
      <c r="A495" s="201"/>
      <c r="B495" s="201"/>
    </row>
    <row r="496" ht="22.5" customHeight="1">
      <c r="A496" s="201"/>
      <c r="B496" s="201"/>
    </row>
    <row r="497" ht="22.5" customHeight="1">
      <c r="A497" s="201"/>
      <c r="B497" s="201"/>
    </row>
    <row r="498" ht="22.5" customHeight="1">
      <c r="A498" s="201"/>
      <c r="B498" s="201"/>
    </row>
    <row r="499" ht="22.5" customHeight="1">
      <c r="A499" s="201"/>
      <c r="B499" s="201"/>
    </row>
    <row r="500" ht="22.5" customHeight="1">
      <c r="A500" s="201"/>
      <c r="B500" s="201"/>
    </row>
    <row r="501" ht="22.5" customHeight="1">
      <c r="A501" s="201"/>
      <c r="B501" s="201"/>
    </row>
    <row r="502" ht="22.5" customHeight="1">
      <c r="A502" s="201"/>
      <c r="B502" s="201"/>
    </row>
    <row r="503" ht="22.5" customHeight="1">
      <c r="A503" s="201"/>
      <c r="B503" s="201"/>
    </row>
    <row r="504" ht="22.5" customHeight="1">
      <c r="A504" s="201"/>
      <c r="B504" s="201"/>
    </row>
    <row r="505" ht="22.5" customHeight="1">
      <c r="A505" s="201"/>
      <c r="B505" s="201"/>
    </row>
    <row r="506" ht="22.5" customHeight="1">
      <c r="A506" s="201"/>
      <c r="B506" s="201"/>
    </row>
    <row r="507" ht="22.5" customHeight="1">
      <c r="A507" s="201"/>
      <c r="B507" s="201"/>
    </row>
    <row r="508" ht="22.5" customHeight="1">
      <c r="A508" s="201"/>
      <c r="B508" s="201"/>
    </row>
    <row r="509" ht="22.5" customHeight="1">
      <c r="A509" s="201"/>
      <c r="B509" s="201"/>
    </row>
    <row r="510" ht="22.5" customHeight="1">
      <c r="A510" s="201"/>
      <c r="B510" s="201"/>
    </row>
    <row r="511" ht="22.5" customHeight="1">
      <c r="A511" s="201"/>
      <c r="B511" s="201"/>
    </row>
    <row r="512" ht="22.5" customHeight="1">
      <c r="A512" s="201"/>
      <c r="B512" s="201"/>
    </row>
    <row r="513" ht="22.5" customHeight="1">
      <c r="A513" s="201"/>
      <c r="B513" s="201"/>
    </row>
    <row r="514" ht="22.5" customHeight="1">
      <c r="A514" s="201"/>
      <c r="B514" s="201"/>
    </row>
    <row r="515" ht="22.5" customHeight="1">
      <c r="A515" s="201"/>
      <c r="B515" s="201"/>
    </row>
    <row r="516" ht="22.5" customHeight="1">
      <c r="A516" s="201"/>
      <c r="B516" s="201"/>
    </row>
    <row r="517" ht="22.5" customHeight="1">
      <c r="A517" s="201"/>
      <c r="B517" s="201"/>
    </row>
    <row r="518" ht="22.5" customHeight="1">
      <c r="A518" s="201"/>
      <c r="B518" s="201"/>
    </row>
    <row r="519" ht="22.5" customHeight="1">
      <c r="A519" s="201"/>
      <c r="B519" s="201"/>
    </row>
    <row r="520" ht="22.5" customHeight="1">
      <c r="A520" s="201"/>
      <c r="B520" s="201"/>
    </row>
    <row r="521" ht="22.5" customHeight="1">
      <c r="A521" s="201"/>
      <c r="B521" s="201"/>
    </row>
    <row r="522" ht="22.5" customHeight="1">
      <c r="A522" s="201"/>
      <c r="B522" s="201"/>
    </row>
    <row r="523" ht="22.5" customHeight="1">
      <c r="A523" s="201"/>
      <c r="B523" s="201"/>
    </row>
    <row r="524" ht="22.5" customHeight="1">
      <c r="A524" s="201"/>
      <c r="B524" s="201"/>
    </row>
    <row r="525" ht="22.5" customHeight="1">
      <c r="A525" s="201"/>
      <c r="B525" s="201"/>
    </row>
    <row r="526" ht="22.5" customHeight="1">
      <c r="A526" s="201"/>
      <c r="B526" s="201"/>
    </row>
    <row r="527" ht="22.5" customHeight="1">
      <c r="A527" s="201"/>
      <c r="B527" s="201"/>
    </row>
    <row r="528" ht="22.5" customHeight="1">
      <c r="A528" s="201"/>
      <c r="B528" s="201"/>
    </row>
    <row r="529" ht="22.5" customHeight="1">
      <c r="A529" s="201"/>
      <c r="B529" s="201"/>
    </row>
    <row r="530" ht="22.5" customHeight="1">
      <c r="A530" s="201"/>
      <c r="B530" s="201"/>
    </row>
    <row r="531" ht="22.5" customHeight="1">
      <c r="A531" s="201"/>
      <c r="B531" s="201"/>
    </row>
    <row r="532" ht="22.5" customHeight="1">
      <c r="A532" s="201"/>
      <c r="B532" s="201"/>
    </row>
    <row r="533" ht="22.5" customHeight="1">
      <c r="A533" s="201"/>
      <c r="B533" s="201"/>
    </row>
    <row r="534" ht="22.5" customHeight="1">
      <c r="A534" s="201"/>
      <c r="B534" s="201"/>
    </row>
    <row r="535" ht="22.5" customHeight="1">
      <c r="A535" s="201"/>
      <c r="B535" s="201"/>
    </row>
    <row r="536" ht="22.5" customHeight="1">
      <c r="A536" s="201"/>
      <c r="B536" s="201"/>
    </row>
    <row r="537" ht="22.5" customHeight="1">
      <c r="A537" s="201"/>
      <c r="B537" s="201"/>
    </row>
    <row r="538" ht="22.5" customHeight="1">
      <c r="A538" s="201"/>
      <c r="B538" s="201"/>
    </row>
    <row r="539" ht="22.5" customHeight="1">
      <c r="A539" s="201"/>
      <c r="B539" s="201"/>
    </row>
    <row r="540" ht="22.5" customHeight="1">
      <c r="A540" s="201"/>
      <c r="B540" s="201"/>
    </row>
    <row r="541" ht="22.5" customHeight="1">
      <c r="A541" s="201"/>
      <c r="B541" s="201"/>
    </row>
    <row r="542" ht="22.5" customHeight="1">
      <c r="A542" s="201"/>
      <c r="B542" s="201"/>
    </row>
    <row r="543" ht="22.5" customHeight="1">
      <c r="A543" s="201"/>
      <c r="B543" s="201"/>
    </row>
    <row r="544" ht="22.5" customHeight="1">
      <c r="A544" s="201"/>
      <c r="B544" s="201"/>
    </row>
    <row r="545" ht="22.5" customHeight="1">
      <c r="A545" s="201"/>
      <c r="B545" s="201"/>
    </row>
    <row r="546" ht="22.5" customHeight="1">
      <c r="A546" s="201"/>
      <c r="B546" s="201"/>
    </row>
    <row r="547" ht="22.5" customHeight="1">
      <c r="A547" s="201"/>
      <c r="B547" s="201"/>
    </row>
    <row r="548" ht="22.5" customHeight="1">
      <c r="A548" s="201"/>
      <c r="B548" s="201"/>
    </row>
    <row r="549" ht="22.5" customHeight="1">
      <c r="A549" s="201"/>
      <c r="B549" s="201"/>
    </row>
    <row r="550" ht="22.5" customHeight="1">
      <c r="A550" s="201"/>
      <c r="B550" s="201"/>
    </row>
    <row r="551" ht="22.5" customHeight="1">
      <c r="A551" s="201"/>
      <c r="B551" s="201"/>
    </row>
    <row r="552" ht="22.5" customHeight="1">
      <c r="A552" s="201"/>
      <c r="B552" s="201"/>
    </row>
    <row r="553" ht="22.5" customHeight="1">
      <c r="A553" s="201"/>
      <c r="B553" s="201"/>
    </row>
    <row r="554" ht="22.5" customHeight="1">
      <c r="A554" s="201"/>
      <c r="B554" s="201"/>
    </row>
    <row r="555" ht="22.5" customHeight="1">
      <c r="A555" s="201"/>
      <c r="B555" s="201"/>
    </row>
    <row r="556" ht="22.5" customHeight="1">
      <c r="A556" s="201"/>
      <c r="B556" s="201"/>
    </row>
    <row r="557" ht="22.5" customHeight="1">
      <c r="A557" s="201"/>
      <c r="B557" s="201"/>
    </row>
    <row r="558" ht="22.5" customHeight="1">
      <c r="A558" s="201"/>
      <c r="B558" s="201"/>
    </row>
    <row r="559" ht="22.5" customHeight="1">
      <c r="A559" s="201"/>
      <c r="B559" s="201"/>
    </row>
    <row r="560" ht="22.5" customHeight="1">
      <c r="A560" s="201"/>
      <c r="B560" s="201"/>
    </row>
    <row r="561" ht="22.5" customHeight="1">
      <c r="A561" s="201"/>
      <c r="B561" s="201"/>
    </row>
    <row r="562" ht="22.5" customHeight="1">
      <c r="A562" s="201"/>
      <c r="B562" s="201"/>
    </row>
    <row r="563" ht="22.5" customHeight="1">
      <c r="A563" s="201"/>
      <c r="B563" s="201"/>
    </row>
    <row r="564" ht="22.5" customHeight="1">
      <c r="A564" s="201"/>
      <c r="B564" s="201"/>
    </row>
    <row r="565" ht="22.5" customHeight="1">
      <c r="A565" s="201"/>
      <c r="B565" s="201"/>
    </row>
    <row r="566" ht="22.5" customHeight="1">
      <c r="A566" s="201"/>
      <c r="B566" s="201"/>
    </row>
    <row r="567" ht="22.5" customHeight="1">
      <c r="A567" s="201"/>
      <c r="B567" s="201"/>
    </row>
    <row r="568" ht="22.5" customHeight="1">
      <c r="A568" s="201"/>
      <c r="B568" s="201"/>
    </row>
    <row r="569" ht="22.5" customHeight="1">
      <c r="A569" s="201"/>
      <c r="B569" s="201"/>
    </row>
    <row r="570" ht="22.5" customHeight="1">
      <c r="A570" s="201"/>
      <c r="B570" s="201"/>
    </row>
    <row r="571" ht="22.5" customHeight="1">
      <c r="A571" s="201"/>
      <c r="B571" s="201"/>
    </row>
    <row r="572" ht="22.5" customHeight="1">
      <c r="A572" s="201"/>
      <c r="B572" s="201"/>
    </row>
    <row r="573" ht="22.5" customHeight="1">
      <c r="A573" s="201"/>
      <c r="B573" s="201"/>
    </row>
    <row r="574" ht="22.5" customHeight="1">
      <c r="A574" s="201"/>
      <c r="B574" s="201"/>
    </row>
    <row r="575" ht="22.5" customHeight="1">
      <c r="A575" s="201"/>
      <c r="B575" s="201"/>
    </row>
    <row r="576" ht="22.5" customHeight="1">
      <c r="A576" s="201"/>
      <c r="B576" s="201"/>
    </row>
    <row r="577" ht="22.5" customHeight="1">
      <c r="A577" s="201"/>
      <c r="B577" s="201"/>
    </row>
    <row r="578" ht="22.5" customHeight="1">
      <c r="A578" s="201"/>
      <c r="B578" s="201"/>
    </row>
    <row r="579" ht="22.5" customHeight="1">
      <c r="A579" s="201"/>
      <c r="B579" s="201"/>
    </row>
    <row r="580" ht="22.5" customHeight="1">
      <c r="A580" s="201"/>
      <c r="B580" s="201"/>
    </row>
    <row r="581" ht="22.5" customHeight="1">
      <c r="A581" s="201"/>
      <c r="B581" s="201"/>
    </row>
    <row r="582" ht="22.5" customHeight="1">
      <c r="A582" s="201"/>
      <c r="B582" s="201"/>
    </row>
    <row r="583" ht="22.5" customHeight="1">
      <c r="A583" s="201"/>
      <c r="B583" s="201"/>
    </row>
    <row r="584" ht="22.5" customHeight="1">
      <c r="A584" s="201"/>
      <c r="B584" s="201"/>
    </row>
    <row r="585" ht="22.5" customHeight="1">
      <c r="A585" s="201"/>
      <c r="B585" s="201"/>
    </row>
    <row r="586" ht="22.5" customHeight="1">
      <c r="A586" s="201"/>
      <c r="B586" s="201"/>
    </row>
    <row r="587" ht="22.5" customHeight="1">
      <c r="A587" s="201"/>
      <c r="B587" s="201"/>
    </row>
    <row r="588" ht="22.5" customHeight="1">
      <c r="A588" s="201"/>
      <c r="B588" s="201"/>
    </row>
    <row r="589" ht="22.5" customHeight="1">
      <c r="A589" s="201"/>
      <c r="B589" s="201"/>
    </row>
    <row r="590" ht="22.5" customHeight="1">
      <c r="A590" s="201"/>
      <c r="B590" s="201"/>
    </row>
    <row r="591" ht="22.5" customHeight="1">
      <c r="A591" s="201"/>
      <c r="B591" s="201"/>
    </row>
    <row r="592" ht="22.5" customHeight="1">
      <c r="A592" s="201"/>
      <c r="B592" s="201"/>
    </row>
    <row r="593" ht="22.5" customHeight="1">
      <c r="A593" s="201"/>
      <c r="B593" s="201"/>
    </row>
    <row r="594" ht="22.5" customHeight="1">
      <c r="A594" s="201"/>
      <c r="B594" s="201"/>
    </row>
    <row r="595" ht="22.5" customHeight="1">
      <c r="A595" s="201"/>
      <c r="B595" s="201"/>
    </row>
    <row r="596" ht="22.5" customHeight="1">
      <c r="A596" s="201"/>
      <c r="B596" s="201"/>
    </row>
    <row r="597" ht="22.5" customHeight="1">
      <c r="A597" s="201"/>
      <c r="B597" s="201"/>
    </row>
    <row r="598" ht="22.5" customHeight="1">
      <c r="A598" s="201"/>
      <c r="B598" s="201"/>
    </row>
    <row r="599" ht="22.5" customHeight="1">
      <c r="A599" s="201"/>
      <c r="B599" s="201"/>
    </row>
    <row r="600" ht="22.5" customHeight="1">
      <c r="A600" s="201"/>
      <c r="B600" s="201"/>
    </row>
    <row r="601" ht="22.5" customHeight="1">
      <c r="A601" s="201"/>
      <c r="B601" s="201"/>
    </row>
    <row r="602" ht="22.5" customHeight="1">
      <c r="A602" s="201"/>
      <c r="B602" s="201"/>
    </row>
    <row r="603" ht="22.5" customHeight="1">
      <c r="A603" s="201"/>
      <c r="B603" s="201"/>
    </row>
    <row r="604" ht="22.5" customHeight="1">
      <c r="A604" s="201"/>
      <c r="B604" s="201"/>
    </row>
    <row r="605" ht="22.5" customHeight="1">
      <c r="A605" s="201"/>
      <c r="B605" s="201"/>
    </row>
    <row r="606" ht="22.5" customHeight="1">
      <c r="A606" s="201"/>
      <c r="B606" s="201"/>
    </row>
    <row r="607" ht="22.5" customHeight="1">
      <c r="A607" s="201"/>
      <c r="B607" s="201"/>
    </row>
    <row r="608" ht="22.5" customHeight="1">
      <c r="A608" s="201"/>
      <c r="B608" s="201"/>
    </row>
    <row r="609" ht="22.5" customHeight="1">
      <c r="A609" s="201"/>
      <c r="B609" s="201"/>
    </row>
    <row r="610" ht="22.5" customHeight="1">
      <c r="A610" s="201"/>
      <c r="B610" s="201"/>
    </row>
    <row r="611" ht="22.5" customHeight="1">
      <c r="A611" s="201"/>
      <c r="B611" s="201"/>
    </row>
    <row r="612" ht="22.5" customHeight="1">
      <c r="A612" s="201"/>
      <c r="B612" s="201"/>
    </row>
    <row r="613" ht="22.5" customHeight="1">
      <c r="A613" s="201"/>
      <c r="B613" s="201"/>
    </row>
    <row r="614" ht="22.5" customHeight="1">
      <c r="A614" s="201"/>
      <c r="B614" s="201"/>
    </row>
    <row r="615" ht="22.5" customHeight="1">
      <c r="A615" s="201"/>
      <c r="B615" s="201"/>
    </row>
    <row r="616" ht="22.5" customHeight="1">
      <c r="A616" s="201"/>
      <c r="B616" s="201"/>
    </row>
    <row r="617" ht="22.5" customHeight="1">
      <c r="A617" s="201"/>
      <c r="B617" s="201"/>
    </row>
    <row r="618" ht="22.5" customHeight="1">
      <c r="A618" s="201"/>
      <c r="B618" s="201"/>
    </row>
    <row r="619" ht="22.5" customHeight="1">
      <c r="A619" s="201"/>
      <c r="B619" s="201"/>
    </row>
    <row r="620" ht="22.5" customHeight="1">
      <c r="A620" s="201"/>
      <c r="B620" s="201"/>
    </row>
    <row r="621" ht="22.5" customHeight="1">
      <c r="A621" s="201"/>
      <c r="B621" s="201"/>
    </row>
    <row r="622" ht="22.5" customHeight="1">
      <c r="A622" s="201"/>
      <c r="B622" s="201"/>
    </row>
    <row r="623" ht="22.5" customHeight="1">
      <c r="A623" s="201"/>
      <c r="B623" s="201"/>
    </row>
    <row r="624" ht="22.5" customHeight="1">
      <c r="A624" s="201"/>
      <c r="B624" s="201"/>
    </row>
    <row r="625" ht="22.5" customHeight="1">
      <c r="A625" s="201"/>
      <c r="B625" s="201"/>
    </row>
    <row r="626" ht="22.5" customHeight="1">
      <c r="A626" s="201"/>
      <c r="B626" s="201"/>
    </row>
    <row r="627" ht="22.5" customHeight="1">
      <c r="A627" s="201"/>
      <c r="B627" s="201"/>
    </row>
    <row r="628" ht="22.5" customHeight="1">
      <c r="A628" s="201"/>
      <c r="B628" s="201"/>
    </row>
    <row r="629" ht="22.5" customHeight="1">
      <c r="A629" s="201"/>
      <c r="B629" s="201"/>
    </row>
    <row r="630" ht="22.5" customHeight="1">
      <c r="A630" s="201"/>
      <c r="B630" s="201"/>
    </row>
    <row r="631" ht="22.5" customHeight="1">
      <c r="A631" s="201"/>
      <c r="B631" s="201"/>
    </row>
    <row r="632" ht="22.5" customHeight="1">
      <c r="A632" s="201"/>
      <c r="B632" s="201"/>
    </row>
    <row r="633" ht="22.5" customHeight="1">
      <c r="A633" s="201"/>
      <c r="B633" s="201"/>
    </row>
    <row r="634" ht="22.5" customHeight="1">
      <c r="A634" s="201"/>
      <c r="B634" s="201"/>
    </row>
    <row r="635" ht="22.5" customHeight="1">
      <c r="A635" s="201"/>
      <c r="B635" s="201"/>
    </row>
    <row r="636" ht="22.5" customHeight="1">
      <c r="A636" s="201"/>
      <c r="B636" s="201"/>
    </row>
    <row r="637" ht="22.5" customHeight="1">
      <c r="A637" s="201"/>
      <c r="B637" s="201"/>
    </row>
    <row r="638" ht="22.5" customHeight="1">
      <c r="A638" s="201"/>
      <c r="B638" s="201"/>
    </row>
    <row r="639" ht="22.5" customHeight="1">
      <c r="A639" s="201"/>
      <c r="B639" s="201"/>
    </row>
    <row r="640" ht="22.5" customHeight="1">
      <c r="A640" s="201"/>
      <c r="B640" s="201"/>
    </row>
    <row r="641" ht="22.5" customHeight="1">
      <c r="A641" s="201"/>
      <c r="B641" s="201"/>
    </row>
    <row r="642" ht="22.5" customHeight="1">
      <c r="A642" s="201"/>
      <c r="B642" s="201"/>
    </row>
    <row r="643" ht="22.5" customHeight="1">
      <c r="A643" s="201"/>
      <c r="B643" s="201"/>
    </row>
    <row r="644" ht="22.5" customHeight="1">
      <c r="A644" s="201"/>
      <c r="B644" s="201"/>
    </row>
    <row r="645" ht="22.5" customHeight="1">
      <c r="A645" s="201"/>
      <c r="B645" s="201"/>
    </row>
    <row r="646" ht="22.5" customHeight="1">
      <c r="A646" s="201"/>
      <c r="B646" s="201"/>
    </row>
    <row r="647" ht="22.5" customHeight="1">
      <c r="A647" s="201"/>
      <c r="B647" s="201"/>
    </row>
    <row r="648" ht="22.5" customHeight="1">
      <c r="A648" s="201"/>
      <c r="B648" s="201"/>
    </row>
    <row r="649" ht="22.5" customHeight="1">
      <c r="A649" s="201"/>
      <c r="B649" s="201"/>
    </row>
    <row r="650" ht="22.5" customHeight="1">
      <c r="A650" s="201"/>
      <c r="B650" s="201"/>
    </row>
    <row r="651" ht="22.5" customHeight="1">
      <c r="A651" s="201"/>
      <c r="B651" s="201"/>
    </row>
    <row r="652" ht="22.5" customHeight="1">
      <c r="A652" s="201"/>
      <c r="B652" s="201"/>
    </row>
    <row r="653" ht="22.5" customHeight="1">
      <c r="A653" s="201"/>
      <c r="B653" s="201"/>
    </row>
    <row r="654" ht="22.5" customHeight="1">
      <c r="A654" s="201"/>
      <c r="B654" s="201"/>
    </row>
    <row r="655" ht="22.5" customHeight="1">
      <c r="A655" s="201"/>
      <c r="B655" s="201"/>
    </row>
    <row r="656" ht="22.5" customHeight="1">
      <c r="A656" s="201"/>
      <c r="B656" s="201"/>
    </row>
    <row r="657" ht="22.5" customHeight="1">
      <c r="A657" s="201"/>
      <c r="B657" s="201"/>
    </row>
    <row r="658" ht="22.5" customHeight="1">
      <c r="A658" s="201"/>
      <c r="B658" s="201"/>
    </row>
    <row r="659" ht="22.5" customHeight="1">
      <c r="A659" s="201"/>
      <c r="B659" s="201"/>
    </row>
    <row r="660" ht="22.5" customHeight="1">
      <c r="A660" s="201"/>
      <c r="B660" s="201"/>
    </row>
    <row r="661" ht="22.5" customHeight="1">
      <c r="A661" s="201"/>
      <c r="B661" s="201"/>
    </row>
    <row r="662" ht="22.5" customHeight="1">
      <c r="A662" s="201"/>
      <c r="B662" s="201"/>
    </row>
    <row r="663" ht="22.5" customHeight="1">
      <c r="A663" s="201"/>
      <c r="B663" s="201"/>
    </row>
    <row r="664" ht="22.5" customHeight="1">
      <c r="A664" s="201"/>
      <c r="B664" s="201"/>
    </row>
    <row r="665" ht="22.5" customHeight="1">
      <c r="A665" s="201"/>
      <c r="B665" s="201"/>
    </row>
    <row r="666" ht="22.5" customHeight="1">
      <c r="A666" s="201"/>
      <c r="B666" s="201"/>
    </row>
    <row r="667" ht="22.5" customHeight="1">
      <c r="A667" s="201"/>
      <c r="B667" s="201"/>
    </row>
    <row r="668" ht="22.5" customHeight="1">
      <c r="A668" s="201"/>
      <c r="B668" s="201"/>
    </row>
    <row r="669" ht="22.5" customHeight="1">
      <c r="A669" s="201"/>
      <c r="B669" s="201"/>
    </row>
    <row r="670" ht="22.5" customHeight="1">
      <c r="A670" s="201"/>
      <c r="B670" s="201"/>
    </row>
    <row r="671" ht="22.5" customHeight="1">
      <c r="A671" s="201"/>
      <c r="B671" s="201"/>
    </row>
    <row r="672" ht="22.5" customHeight="1">
      <c r="A672" s="201"/>
      <c r="B672" s="201"/>
    </row>
    <row r="673" ht="22.5" customHeight="1">
      <c r="A673" s="201"/>
      <c r="B673" s="201"/>
    </row>
    <row r="674" ht="22.5" customHeight="1">
      <c r="A674" s="201"/>
      <c r="B674" s="201"/>
    </row>
    <row r="675" ht="22.5" customHeight="1">
      <c r="A675" s="201"/>
      <c r="B675" s="201"/>
    </row>
    <row r="676" ht="22.5" customHeight="1">
      <c r="A676" s="201"/>
      <c r="B676" s="201"/>
    </row>
    <row r="677" ht="22.5" customHeight="1">
      <c r="A677" s="201"/>
      <c r="B677" s="201"/>
    </row>
    <row r="678" ht="22.5" customHeight="1">
      <c r="A678" s="201"/>
      <c r="B678" s="201"/>
    </row>
    <row r="679" ht="22.5" customHeight="1">
      <c r="A679" s="201"/>
      <c r="B679" s="201"/>
    </row>
    <row r="680" ht="22.5" customHeight="1">
      <c r="A680" s="201"/>
      <c r="B680" s="201"/>
    </row>
    <row r="681" ht="22.5" customHeight="1">
      <c r="A681" s="201"/>
      <c r="B681" s="201"/>
    </row>
    <row r="682" ht="22.5" customHeight="1">
      <c r="A682" s="201"/>
      <c r="B682" s="201"/>
    </row>
    <row r="683" ht="22.5" customHeight="1">
      <c r="A683" s="201"/>
      <c r="B683" s="201"/>
    </row>
    <row r="684" ht="22.5" customHeight="1">
      <c r="A684" s="201"/>
      <c r="B684" s="201"/>
    </row>
    <row r="685" ht="22.5" customHeight="1">
      <c r="A685" s="201"/>
      <c r="B685" s="201"/>
    </row>
    <row r="686" ht="22.5" customHeight="1">
      <c r="A686" s="201"/>
      <c r="B686" s="201"/>
    </row>
    <row r="687" ht="22.5" customHeight="1">
      <c r="A687" s="201"/>
      <c r="B687" s="201"/>
    </row>
    <row r="688" ht="22.5" customHeight="1">
      <c r="A688" s="201"/>
      <c r="B688" s="201"/>
    </row>
    <row r="689" ht="22.5" customHeight="1">
      <c r="A689" s="201"/>
      <c r="B689" s="201"/>
    </row>
    <row r="690" ht="22.5" customHeight="1">
      <c r="A690" s="201"/>
      <c r="B690" s="201"/>
    </row>
    <row r="691" ht="22.5" customHeight="1">
      <c r="A691" s="201"/>
      <c r="B691" s="201"/>
    </row>
    <row r="692" ht="22.5" customHeight="1">
      <c r="A692" s="201"/>
      <c r="B692" s="201"/>
    </row>
    <row r="693" ht="22.5" customHeight="1">
      <c r="A693" s="201"/>
      <c r="B693" s="201"/>
    </row>
    <row r="694" ht="22.5" customHeight="1">
      <c r="A694" s="201"/>
      <c r="B694" s="201"/>
    </row>
    <row r="695" ht="22.5" customHeight="1">
      <c r="A695" s="201"/>
      <c r="B695" s="201"/>
    </row>
    <row r="696" ht="22.5" customHeight="1">
      <c r="A696" s="201"/>
      <c r="B696" s="201"/>
    </row>
    <row r="697" ht="22.5" customHeight="1">
      <c r="A697" s="201"/>
      <c r="B697" s="201"/>
    </row>
    <row r="698" ht="22.5" customHeight="1">
      <c r="A698" s="201"/>
      <c r="B698" s="201"/>
    </row>
    <row r="699" ht="22.5" customHeight="1">
      <c r="A699" s="201"/>
      <c r="B699" s="201"/>
    </row>
    <row r="700" ht="22.5" customHeight="1">
      <c r="A700" s="201"/>
      <c r="B700" s="201"/>
    </row>
    <row r="701" ht="22.5" customHeight="1">
      <c r="A701" s="201"/>
      <c r="B701" s="201"/>
    </row>
    <row r="702" ht="22.5" customHeight="1">
      <c r="A702" s="201"/>
      <c r="B702" s="201"/>
    </row>
    <row r="703" ht="22.5" customHeight="1">
      <c r="A703" s="201"/>
      <c r="B703" s="201"/>
    </row>
    <row r="704" ht="22.5" customHeight="1">
      <c r="A704" s="201"/>
      <c r="B704" s="201"/>
    </row>
    <row r="705" ht="22.5" customHeight="1">
      <c r="A705" s="201"/>
      <c r="B705" s="201"/>
    </row>
    <row r="706" ht="22.5" customHeight="1">
      <c r="A706" s="201"/>
      <c r="B706" s="201"/>
    </row>
    <row r="707" ht="22.5" customHeight="1">
      <c r="A707" s="201"/>
      <c r="B707" s="201"/>
    </row>
    <row r="708" ht="22.5" customHeight="1">
      <c r="A708" s="201"/>
      <c r="B708" s="201"/>
    </row>
    <row r="709" ht="22.5" customHeight="1">
      <c r="A709" s="201"/>
      <c r="B709" s="201"/>
    </row>
    <row r="710" ht="22.5" customHeight="1">
      <c r="A710" s="201"/>
      <c r="B710" s="201"/>
    </row>
    <row r="711" ht="22.5" customHeight="1">
      <c r="A711" s="201"/>
      <c r="B711" s="201"/>
    </row>
    <row r="712" ht="22.5" customHeight="1">
      <c r="A712" s="201"/>
      <c r="B712" s="201"/>
    </row>
    <row r="713" ht="22.5" customHeight="1">
      <c r="A713" s="201"/>
      <c r="B713" s="201"/>
    </row>
    <row r="714" ht="22.5" customHeight="1">
      <c r="A714" s="201"/>
      <c r="B714" s="201"/>
    </row>
    <row r="715" ht="22.5" customHeight="1">
      <c r="A715" s="201"/>
      <c r="B715" s="201"/>
    </row>
    <row r="716" ht="22.5" customHeight="1">
      <c r="A716" s="201"/>
      <c r="B716" s="201"/>
    </row>
    <row r="717" ht="22.5" customHeight="1">
      <c r="A717" s="201"/>
      <c r="B717" s="201"/>
    </row>
    <row r="718" ht="22.5" customHeight="1">
      <c r="A718" s="201"/>
      <c r="B718" s="201"/>
    </row>
    <row r="719" ht="22.5" customHeight="1">
      <c r="A719" s="201"/>
      <c r="B719" s="201"/>
    </row>
    <row r="720" ht="22.5" customHeight="1">
      <c r="A720" s="201"/>
      <c r="B720" s="201"/>
    </row>
    <row r="721" ht="22.5" customHeight="1">
      <c r="A721" s="201"/>
      <c r="B721" s="201"/>
    </row>
    <row r="722" ht="22.5" customHeight="1">
      <c r="A722" s="201"/>
      <c r="B722" s="201"/>
    </row>
    <row r="723" ht="22.5" customHeight="1">
      <c r="A723" s="201"/>
      <c r="B723" s="201"/>
    </row>
    <row r="724" ht="22.5" customHeight="1">
      <c r="A724" s="201"/>
      <c r="B724" s="201"/>
    </row>
    <row r="725" ht="22.5" customHeight="1">
      <c r="A725" s="201"/>
      <c r="B725" s="201"/>
    </row>
    <row r="726" ht="22.5" customHeight="1">
      <c r="A726" s="201"/>
      <c r="B726" s="201"/>
    </row>
    <row r="727" ht="22.5" customHeight="1">
      <c r="A727" s="201"/>
      <c r="B727" s="201"/>
    </row>
    <row r="728" ht="22.5" customHeight="1">
      <c r="A728" s="201"/>
      <c r="B728" s="201"/>
    </row>
    <row r="729" ht="22.5" customHeight="1">
      <c r="A729" s="201"/>
      <c r="B729" s="201"/>
    </row>
    <row r="730" ht="22.5" customHeight="1">
      <c r="A730" s="201"/>
      <c r="B730" s="201"/>
    </row>
    <row r="731" ht="22.5" customHeight="1">
      <c r="A731" s="201"/>
      <c r="B731" s="201"/>
    </row>
    <row r="732" ht="22.5" customHeight="1">
      <c r="A732" s="201"/>
      <c r="B732" s="201"/>
    </row>
    <row r="733" ht="22.5" customHeight="1">
      <c r="A733" s="201"/>
      <c r="B733" s="201"/>
    </row>
    <row r="734" ht="22.5" customHeight="1">
      <c r="A734" s="201"/>
      <c r="B734" s="201"/>
    </row>
    <row r="735" ht="22.5" customHeight="1">
      <c r="A735" s="201"/>
      <c r="B735" s="201"/>
    </row>
    <row r="736" ht="22.5" customHeight="1">
      <c r="A736" s="201"/>
      <c r="B736" s="201"/>
    </row>
    <row r="737" ht="22.5" customHeight="1">
      <c r="A737" s="201"/>
      <c r="B737" s="201"/>
    </row>
    <row r="738" ht="22.5" customHeight="1">
      <c r="A738" s="201"/>
      <c r="B738" s="201"/>
    </row>
    <row r="739" ht="22.5" customHeight="1">
      <c r="A739" s="201"/>
      <c r="B739" s="201"/>
    </row>
    <row r="740" ht="22.5" customHeight="1">
      <c r="A740" s="201"/>
      <c r="B740" s="201"/>
    </row>
    <row r="741" ht="22.5" customHeight="1">
      <c r="A741" s="201"/>
      <c r="B741" s="201"/>
    </row>
    <row r="742" ht="22.5" customHeight="1">
      <c r="A742" s="201"/>
      <c r="B742" s="201"/>
    </row>
    <row r="743" ht="22.5" customHeight="1">
      <c r="A743" s="201"/>
      <c r="B743" s="201"/>
    </row>
    <row r="744" ht="22.5" customHeight="1">
      <c r="A744" s="201"/>
      <c r="B744" s="201"/>
    </row>
    <row r="745" ht="22.5" customHeight="1">
      <c r="A745" s="201"/>
      <c r="B745" s="201"/>
    </row>
    <row r="746" ht="22.5" customHeight="1">
      <c r="A746" s="201"/>
      <c r="B746" s="201"/>
    </row>
    <row r="747" ht="22.5" customHeight="1">
      <c r="A747" s="201"/>
      <c r="B747" s="201"/>
    </row>
    <row r="748" ht="22.5" customHeight="1">
      <c r="A748" s="201"/>
      <c r="B748" s="201"/>
    </row>
    <row r="749" ht="22.5" customHeight="1">
      <c r="A749" s="201"/>
      <c r="B749" s="201"/>
    </row>
    <row r="750" ht="22.5" customHeight="1">
      <c r="A750" s="201"/>
      <c r="B750" s="201"/>
    </row>
    <row r="751" ht="22.5" customHeight="1">
      <c r="A751" s="201"/>
      <c r="B751" s="201"/>
    </row>
    <row r="752" ht="22.5" customHeight="1">
      <c r="A752" s="201"/>
      <c r="B752" s="201"/>
    </row>
    <row r="753" ht="22.5" customHeight="1">
      <c r="A753" s="201"/>
      <c r="B753" s="201"/>
    </row>
    <row r="754" ht="22.5" customHeight="1">
      <c r="A754" s="201"/>
      <c r="B754" s="201"/>
    </row>
    <row r="755" ht="22.5" customHeight="1">
      <c r="A755" s="201"/>
      <c r="B755" s="201"/>
    </row>
    <row r="756" ht="22.5" customHeight="1">
      <c r="A756" s="201"/>
      <c r="B756" s="201"/>
    </row>
    <row r="757" ht="22.5" customHeight="1">
      <c r="A757" s="201"/>
      <c r="B757" s="201"/>
    </row>
    <row r="758" ht="22.5" customHeight="1">
      <c r="A758" s="201"/>
      <c r="B758" s="201"/>
    </row>
    <row r="759" ht="22.5" customHeight="1">
      <c r="A759" s="201"/>
      <c r="B759" s="201"/>
    </row>
    <row r="760" ht="22.5" customHeight="1">
      <c r="A760" s="201"/>
      <c r="B760" s="201"/>
    </row>
    <row r="761" ht="22.5" customHeight="1">
      <c r="A761" s="201"/>
      <c r="B761" s="201"/>
    </row>
    <row r="762" ht="22.5" customHeight="1">
      <c r="A762" s="201"/>
      <c r="B762" s="201"/>
    </row>
    <row r="763" ht="22.5" customHeight="1">
      <c r="A763" s="201"/>
      <c r="B763" s="201"/>
    </row>
    <row r="764" ht="22.5" customHeight="1">
      <c r="A764" s="201"/>
      <c r="B764" s="201"/>
    </row>
    <row r="765" ht="22.5" customHeight="1">
      <c r="A765" s="201"/>
      <c r="B765" s="201"/>
    </row>
    <row r="766" ht="22.5" customHeight="1">
      <c r="A766" s="201"/>
      <c r="B766" s="201"/>
    </row>
    <row r="767" ht="22.5" customHeight="1">
      <c r="A767" s="201"/>
      <c r="B767" s="201"/>
    </row>
    <row r="768" ht="22.5" customHeight="1">
      <c r="A768" s="201"/>
      <c r="B768" s="201"/>
    </row>
    <row r="769" ht="22.5" customHeight="1">
      <c r="A769" s="201"/>
      <c r="B769" s="201"/>
    </row>
    <row r="770" ht="22.5" customHeight="1">
      <c r="A770" s="201"/>
      <c r="B770" s="201"/>
    </row>
    <row r="771" ht="22.5" customHeight="1">
      <c r="A771" s="201"/>
      <c r="B771" s="201"/>
    </row>
    <row r="772" ht="22.5" customHeight="1">
      <c r="A772" s="201"/>
      <c r="B772" s="201"/>
    </row>
    <row r="773" ht="22.5" customHeight="1">
      <c r="A773" s="201"/>
      <c r="B773" s="201"/>
    </row>
    <row r="774" ht="22.5" customHeight="1">
      <c r="A774" s="201"/>
      <c r="B774" s="201"/>
    </row>
    <row r="775" ht="22.5" customHeight="1">
      <c r="A775" s="201"/>
      <c r="B775" s="201"/>
    </row>
    <row r="776" ht="22.5" customHeight="1">
      <c r="A776" s="201"/>
      <c r="B776" s="201"/>
    </row>
    <row r="777" ht="22.5" customHeight="1">
      <c r="A777" s="201"/>
      <c r="B777" s="201"/>
    </row>
    <row r="778" ht="22.5" customHeight="1">
      <c r="A778" s="201"/>
      <c r="B778" s="201"/>
    </row>
    <row r="779" ht="22.5" customHeight="1">
      <c r="A779" s="201"/>
      <c r="B779" s="201"/>
    </row>
    <row r="780" ht="22.5" customHeight="1">
      <c r="A780" s="201"/>
      <c r="B780" s="201"/>
    </row>
    <row r="781" ht="22.5" customHeight="1">
      <c r="A781" s="201"/>
      <c r="B781" s="201"/>
    </row>
    <row r="782" ht="22.5" customHeight="1">
      <c r="A782" s="201"/>
      <c r="B782" s="201"/>
    </row>
    <row r="783" ht="22.5" customHeight="1">
      <c r="A783" s="201"/>
      <c r="B783" s="201"/>
    </row>
    <row r="784" ht="22.5" customHeight="1">
      <c r="A784" s="201"/>
      <c r="B784" s="201"/>
    </row>
    <row r="785" ht="22.5" customHeight="1">
      <c r="A785" s="201"/>
      <c r="B785" s="201"/>
    </row>
    <row r="786" ht="22.5" customHeight="1">
      <c r="A786" s="201"/>
      <c r="B786" s="201"/>
    </row>
    <row r="787" ht="22.5" customHeight="1">
      <c r="A787" s="201"/>
      <c r="B787" s="201"/>
    </row>
    <row r="788" ht="22.5" customHeight="1">
      <c r="A788" s="201"/>
      <c r="B788" s="201"/>
    </row>
    <row r="789" ht="22.5" customHeight="1">
      <c r="A789" s="201"/>
      <c r="B789" s="201"/>
    </row>
    <row r="790" ht="22.5" customHeight="1">
      <c r="A790" s="201"/>
      <c r="B790" s="201"/>
    </row>
    <row r="791" ht="22.5" customHeight="1">
      <c r="A791" s="201"/>
      <c r="B791" s="201"/>
    </row>
    <row r="792" ht="22.5" customHeight="1">
      <c r="A792" s="201"/>
      <c r="B792" s="201"/>
    </row>
    <row r="793" ht="22.5" customHeight="1">
      <c r="A793" s="201"/>
      <c r="B793" s="201"/>
    </row>
    <row r="794" ht="22.5" customHeight="1">
      <c r="A794" s="201"/>
      <c r="B794" s="201"/>
    </row>
    <row r="795" ht="22.5" customHeight="1">
      <c r="A795" s="201"/>
      <c r="B795" s="201"/>
    </row>
    <row r="796" ht="22.5" customHeight="1">
      <c r="A796" s="201"/>
      <c r="B796" s="201"/>
    </row>
    <row r="797" ht="22.5" customHeight="1">
      <c r="A797" s="201"/>
      <c r="B797" s="201"/>
    </row>
    <row r="798" ht="22.5" customHeight="1">
      <c r="A798" s="201"/>
      <c r="B798" s="201"/>
    </row>
    <row r="799" ht="22.5" customHeight="1">
      <c r="A799" s="201"/>
      <c r="B799" s="201"/>
    </row>
    <row r="800" ht="22.5" customHeight="1">
      <c r="A800" s="201"/>
      <c r="B800" s="201"/>
    </row>
    <row r="801" ht="22.5" customHeight="1">
      <c r="A801" s="201"/>
      <c r="B801" s="201"/>
    </row>
    <row r="802" ht="22.5" customHeight="1">
      <c r="A802" s="201"/>
      <c r="B802" s="201"/>
    </row>
    <row r="803" ht="22.5" customHeight="1">
      <c r="A803" s="201"/>
      <c r="B803" s="201"/>
    </row>
    <row r="804" ht="22.5" customHeight="1">
      <c r="A804" s="201"/>
      <c r="B804" s="201"/>
    </row>
    <row r="805" ht="22.5" customHeight="1">
      <c r="A805" s="201"/>
      <c r="B805" s="201"/>
    </row>
    <row r="806" ht="22.5" customHeight="1">
      <c r="A806" s="201"/>
      <c r="B806" s="201"/>
    </row>
    <row r="807" ht="22.5" customHeight="1">
      <c r="A807" s="201"/>
      <c r="B807" s="201"/>
    </row>
    <row r="808" ht="22.5" customHeight="1">
      <c r="A808" s="201"/>
      <c r="B808" s="201"/>
    </row>
    <row r="809" ht="22.5" customHeight="1">
      <c r="A809" s="201"/>
      <c r="B809" s="201"/>
    </row>
    <row r="810" ht="22.5" customHeight="1">
      <c r="A810" s="201"/>
      <c r="B810" s="201"/>
    </row>
    <row r="811" ht="22.5" customHeight="1">
      <c r="A811" s="201"/>
      <c r="B811" s="201"/>
    </row>
    <row r="812" ht="22.5" customHeight="1">
      <c r="A812" s="201"/>
      <c r="B812" s="201"/>
    </row>
    <row r="813" ht="22.5" customHeight="1">
      <c r="A813" s="201"/>
      <c r="B813" s="201"/>
    </row>
    <row r="814" ht="22.5" customHeight="1">
      <c r="A814" s="201"/>
      <c r="B814" s="201"/>
    </row>
    <row r="815" ht="22.5" customHeight="1">
      <c r="A815" s="201"/>
      <c r="B815" s="201"/>
    </row>
    <row r="816" ht="22.5" customHeight="1">
      <c r="A816" s="201"/>
      <c r="B816" s="201"/>
    </row>
    <row r="817" ht="22.5" customHeight="1">
      <c r="A817" s="201"/>
      <c r="B817" s="201"/>
    </row>
    <row r="818" ht="22.5" customHeight="1">
      <c r="A818" s="201"/>
      <c r="B818" s="201"/>
    </row>
    <row r="819" ht="22.5" customHeight="1">
      <c r="A819" s="201"/>
      <c r="B819" s="201"/>
    </row>
    <row r="820" ht="22.5" customHeight="1">
      <c r="A820" s="201"/>
      <c r="B820" s="201"/>
    </row>
    <row r="821" ht="22.5" customHeight="1">
      <c r="A821" s="201"/>
      <c r="B821" s="201"/>
    </row>
    <row r="822" ht="22.5" customHeight="1">
      <c r="A822" s="201"/>
      <c r="B822" s="201"/>
    </row>
    <row r="823" ht="22.5" customHeight="1">
      <c r="A823" s="201"/>
      <c r="B823" s="201"/>
    </row>
    <row r="824" ht="22.5" customHeight="1">
      <c r="A824" s="201"/>
      <c r="B824" s="201"/>
    </row>
    <row r="825" ht="22.5" customHeight="1">
      <c r="A825" s="201"/>
      <c r="B825" s="201"/>
    </row>
    <row r="826" ht="22.5" customHeight="1">
      <c r="A826" s="201"/>
      <c r="B826" s="201"/>
    </row>
    <row r="827" ht="22.5" customHeight="1">
      <c r="A827" s="201"/>
      <c r="B827" s="201"/>
    </row>
    <row r="828" ht="22.5" customHeight="1">
      <c r="A828" s="201"/>
      <c r="B828" s="201"/>
    </row>
    <row r="829" ht="22.5" customHeight="1">
      <c r="A829" s="201"/>
      <c r="B829" s="201"/>
    </row>
    <row r="830" ht="22.5" customHeight="1">
      <c r="A830" s="201"/>
      <c r="B830" s="201"/>
    </row>
    <row r="831" ht="22.5" customHeight="1">
      <c r="A831" s="201"/>
      <c r="B831" s="201"/>
    </row>
    <row r="832" ht="22.5" customHeight="1">
      <c r="A832" s="201"/>
      <c r="B832" s="201"/>
    </row>
    <row r="833" ht="22.5" customHeight="1">
      <c r="A833" s="201"/>
      <c r="B833" s="201"/>
    </row>
    <row r="834" ht="22.5" customHeight="1">
      <c r="A834" s="201"/>
      <c r="B834" s="201"/>
    </row>
    <row r="835" ht="22.5" customHeight="1">
      <c r="A835" s="201"/>
      <c r="B835" s="201"/>
    </row>
    <row r="836" ht="22.5" customHeight="1">
      <c r="A836" s="201"/>
      <c r="B836" s="201"/>
    </row>
    <row r="837" ht="22.5" customHeight="1">
      <c r="A837" s="201"/>
      <c r="B837" s="201"/>
    </row>
    <row r="838" ht="22.5" customHeight="1">
      <c r="A838" s="201"/>
      <c r="B838" s="201"/>
    </row>
    <row r="839" ht="22.5" customHeight="1">
      <c r="A839" s="201"/>
      <c r="B839" s="201"/>
    </row>
    <row r="840" ht="22.5" customHeight="1">
      <c r="A840" s="201"/>
      <c r="B840" s="201"/>
    </row>
    <row r="841" ht="22.5" customHeight="1">
      <c r="A841" s="201"/>
      <c r="B841" s="201"/>
    </row>
    <row r="842" ht="22.5" customHeight="1">
      <c r="A842" s="201"/>
      <c r="B842" s="201"/>
    </row>
    <row r="843" ht="22.5" customHeight="1">
      <c r="A843" s="201"/>
      <c r="B843" s="201"/>
    </row>
    <row r="844" ht="22.5" customHeight="1">
      <c r="A844" s="201"/>
      <c r="B844" s="201"/>
    </row>
    <row r="845" ht="22.5" customHeight="1">
      <c r="A845" s="201"/>
      <c r="B845" s="201"/>
    </row>
    <row r="846" ht="22.5" customHeight="1">
      <c r="A846" s="201"/>
      <c r="B846" s="201"/>
    </row>
    <row r="847" ht="22.5" customHeight="1">
      <c r="A847" s="201"/>
      <c r="B847" s="201"/>
    </row>
    <row r="848" ht="22.5" customHeight="1">
      <c r="A848" s="201"/>
      <c r="B848" s="201"/>
    </row>
    <row r="849" ht="22.5" customHeight="1">
      <c r="A849" s="201"/>
      <c r="B849" s="201"/>
    </row>
    <row r="850" ht="22.5" customHeight="1">
      <c r="A850" s="201"/>
      <c r="B850" s="201"/>
    </row>
    <row r="851" ht="22.5" customHeight="1">
      <c r="A851" s="201"/>
      <c r="B851" s="201"/>
    </row>
    <row r="852" ht="22.5" customHeight="1">
      <c r="A852" s="201"/>
      <c r="B852" s="201"/>
    </row>
    <row r="853" ht="22.5" customHeight="1">
      <c r="A853" s="201"/>
      <c r="B853" s="201"/>
    </row>
    <row r="854" ht="22.5" customHeight="1">
      <c r="A854" s="201"/>
      <c r="B854" s="201"/>
    </row>
    <row r="855" ht="22.5" customHeight="1">
      <c r="A855" s="201"/>
      <c r="B855" s="201"/>
    </row>
    <row r="856" ht="22.5" customHeight="1">
      <c r="A856" s="201"/>
      <c r="B856" s="201"/>
    </row>
    <row r="857" ht="22.5" customHeight="1">
      <c r="A857" s="201"/>
      <c r="B857" s="201"/>
    </row>
    <row r="858" ht="22.5" customHeight="1">
      <c r="A858" s="201"/>
      <c r="B858" s="201"/>
    </row>
    <row r="859" ht="22.5" customHeight="1">
      <c r="A859" s="201"/>
      <c r="B859" s="201"/>
    </row>
    <row r="860" ht="22.5" customHeight="1">
      <c r="A860" s="201"/>
      <c r="B860" s="201"/>
    </row>
    <row r="861" ht="22.5" customHeight="1">
      <c r="A861" s="201"/>
      <c r="B861" s="201"/>
    </row>
    <row r="862" ht="22.5" customHeight="1">
      <c r="A862" s="201"/>
      <c r="B862" s="201"/>
    </row>
    <row r="863" ht="22.5" customHeight="1">
      <c r="A863" s="201"/>
      <c r="B863" s="201"/>
    </row>
    <row r="864" ht="22.5" customHeight="1">
      <c r="A864" s="201"/>
      <c r="B864" s="201"/>
    </row>
    <row r="865" ht="22.5" customHeight="1">
      <c r="A865" s="201"/>
      <c r="B865" s="201"/>
    </row>
    <row r="866" ht="22.5" customHeight="1">
      <c r="A866" s="201"/>
      <c r="B866" s="201"/>
    </row>
    <row r="867" ht="22.5" customHeight="1">
      <c r="A867" s="201"/>
      <c r="B867" s="201"/>
    </row>
    <row r="868" ht="22.5" customHeight="1">
      <c r="A868" s="201"/>
      <c r="B868" s="201"/>
    </row>
    <row r="869" ht="22.5" customHeight="1">
      <c r="A869" s="201"/>
      <c r="B869" s="201"/>
    </row>
    <row r="870" ht="22.5" customHeight="1">
      <c r="A870" s="201"/>
      <c r="B870" s="201"/>
    </row>
    <row r="871" ht="22.5" customHeight="1">
      <c r="A871" s="201"/>
      <c r="B871" s="201"/>
    </row>
    <row r="872" ht="22.5" customHeight="1">
      <c r="A872" s="201"/>
      <c r="B872" s="201"/>
    </row>
    <row r="873" ht="22.5" customHeight="1">
      <c r="A873" s="201"/>
      <c r="B873" s="201"/>
    </row>
    <row r="874" ht="22.5" customHeight="1">
      <c r="A874" s="201"/>
      <c r="B874" s="201"/>
    </row>
    <row r="875" ht="22.5" customHeight="1">
      <c r="A875" s="201"/>
      <c r="B875" s="201"/>
    </row>
    <row r="876" ht="22.5" customHeight="1">
      <c r="A876" s="201"/>
      <c r="B876" s="201"/>
    </row>
    <row r="877" ht="22.5" customHeight="1">
      <c r="A877" s="201"/>
      <c r="B877" s="201"/>
    </row>
    <row r="878" ht="22.5" customHeight="1">
      <c r="A878" s="201"/>
      <c r="B878" s="201"/>
    </row>
    <row r="879" ht="22.5" customHeight="1">
      <c r="A879" s="201"/>
      <c r="B879" s="201"/>
    </row>
    <row r="880" ht="22.5" customHeight="1">
      <c r="A880" s="201"/>
      <c r="B880" s="201"/>
    </row>
    <row r="881" ht="22.5" customHeight="1">
      <c r="A881" s="201"/>
      <c r="B881" s="201"/>
    </row>
    <row r="882" ht="22.5" customHeight="1">
      <c r="A882" s="201"/>
      <c r="B882" s="201"/>
    </row>
    <row r="883" ht="22.5" customHeight="1">
      <c r="A883" s="201"/>
      <c r="B883" s="201"/>
    </row>
    <row r="884" ht="22.5" customHeight="1">
      <c r="A884" s="201"/>
      <c r="B884" s="201"/>
    </row>
    <row r="885" ht="22.5" customHeight="1">
      <c r="A885" s="201"/>
      <c r="B885" s="201"/>
    </row>
    <row r="886" ht="22.5" customHeight="1">
      <c r="A886" s="201"/>
      <c r="B886" s="201"/>
    </row>
    <row r="887" ht="22.5" customHeight="1">
      <c r="A887" s="201"/>
      <c r="B887" s="201"/>
    </row>
    <row r="888" ht="22.5" customHeight="1">
      <c r="A888" s="201"/>
      <c r="B888" s="201"/>
    </row>
    <row r="889" ht="22.5" customHeight="1">
      <c r="A889" s="201"/>
      <c r="B889" s="201"/>
    </row>
    <row r="890" ht="22.5" customHeight="1">
      <c r="A890" s="201"/>
      <c r="B890" s="201"/>
    </row>
    <row r="891" ht="22.5" customHeight="1">
      <c r="A891" s="201"/>
      <c r="B891" s="201"/>
    </row>
    <row r="892" ht="22.5" customHeight="1">
      <c r="A892" s="201"/>
      <c r="B892" s="201"/>
    </row>
    <row r="893" ht="22.5" customHeight="1">
      <c r="A893" s="201"/>
      <c r="B893" s="201"/>
    </row>
    <row r="894" ht="22.5" customHeight="1">
      <c r="A894" s="201"/>
      <c r="B894" s="201"/>
    </row>
    <row r="895" ht="22.5" customHeight="1">
      <c r="A895" s="201"/>
      <c r="B895" s="201"/>
    </row>
    <row r="896" ht="22.5" customHeight="1">
      <c r="A896" s="201"/>
      <c r="B896" s="201"/>
    </row>
    <row r="897" ht="22.5" customHeight="1">
      <c r="A897" s="201"/>
      <c r="B897" s="201"/>
    </row>
    <row r="898" ht="22.5" customHeight="1">
      <c r="A898" s="201"/>
      <c r="B898" s="201"/>
    </row>
    <row r="899" ht="22.5" customHeight="1">
      <c r="A899" s="201"/>
      <c r="B899" s="201"/>
    </row>
    <row r="900" ht="22.5" customHeight="1">
      <c r="A900" s="201"/>
      <c r="B900" s="201"/>
    </row>
    <row r="901" ht="22.5" customHeight="1">
      <c r="A901" s="201"/>
      <c r="B901" s="201"/>
    </row>
    <row r="902" ht="22.5" customHeight="1">
      <c r="A902" s="201"/>
      <c r="B902" s="201"/>
    </row>
    <row r="903" ht="22.5" customHeight="1">
      <c r="A903" s="201"/>
      <c r="B903" s="201"/>
    </row>
    <row r="904" ht="22.5" customHeight="1">
      <c r="A904" s="201"/>
      <c r="B904" s="201"/>
    </row>
    <row r="905" ht="22.5" customHeight="1">
      <c r="A905" s="201"/>
      <c r="B905" s="201"/>
    </row>
    <row r="906" ht="22.5" customHeight="1">
      <c r="A906" s="201"/>
      <c r="B906" s="201"/>
    </row>
    <row r="907" ht="22.5" customHeight="1">
      <c r="A907" s="201"/>
      <c r="B907" s="201"/>
    </row>
    <row r="908" ht="22.5" customHeight="1">
      <c r="A908" s="201"/>
      <c r="B908" s="201"/>
    </row>
    <row r="909" ht="22.5" customHeight="1">
      <c r="A909" s="201"/>
      <c r="B909" s="201"/>
    </row>
    <row r="910" ht="22.5" customHeight="1">
      <c r="A910" s="201"/>
      <c r="B910" s="201"/>
    </row>
    <row r="911" ht="22.5" customHeight="1">
      <c r="A911" s="201"/>
      <c r="B911" s="201"/>
    </row>
    <row r="912" ht="22.5" customHeight="1">
      <c r="A912" s="201"/>
      <c r="B912" s="201"/>
    </row>
    <row r="913" ht="22.5" customHeight="1">
      <c r="A913" s="201"/>
      <c r="B913" s="201"/>
    </row>
    <row r="914" ht="22.5" customHeight="1">
      <c r="A914" s="201"/>
      <c r="B914" s="201"/>
    </row>
    <row r="915" ht="22.5" customHeight="1">
      <c r="A915" s="201"/>
      <c r="B915" s="201"/>
    </row>
    <row r="916" ht="22.5" customHeight="1">
      <c r="A916" s="201"/>
      <c r="B916" s="201"/>
    </row>
    <row r="917" ht="22.5" customHeight="1">
      <c r="A917" s="201"/>
      <c r="B917" s="201"/>
    </row>
    <row r="918" ht="22.5" customHeight="1">
      <c r="A918" s="201"/>
      <c r="B918" s="201"/>
    </row>
    <row r="919" ht="22.5" customHeight="1">
      <c r="A919" s="201"/>
      <c r="B919" s="201"/>
    </row>
    <row r="920" ht="22.5" customHeight="1">
      <c r="A920" s="201"/>
      <c r="B920" s="201"/>
    </row>
    <row r="921" ht="22.5" customHeight="1">
      <c r="A921" s="201"/>
      <c r="B921" s="201"/>
    </row>
    <row r="922" ht="22.5" customHeight="1">
      <c r="A922" s="201"/>
      <c r="B922" s="201"/>
    </row>
    <row r="923" ht="22.5" customHeight="1">
      <c r="A923" s="201"/>
      <c r="B923" s="201"/>
    </row>
    <row r="924" ht="22.5" customHeight="1">
      <c r="A924" s="201"/>
      <c r="B924" s="201"/>
    </row>
    <row r="925" ht="22.5" customHeight="1">
      <c r="A925" s="201"/>
      <c r="B925" s="201"/>
    </row>
    <row r="926" ht="22.5" customHeight="1">
      <c r="A926" s="201"/>
      <c r="B926" s="201"/>
    </row>
    <row r="927" ht="22.5" customHeight="1">
      <c r="A927" s="201"/>
      <c r="B927" s="201"/>
    </row>
    <row r="928" ht="22.5" customHeight="1">
      <c r="A928" s="201"/>
      <c r="B928" s="201"/>
    </row>
    <row r="929" ht="22.5" customHeight="1">
      <c r="A929" s="201"/>
      <c r="B929" s="201"/>
    </row>
    <row r="930" ht="22.5" customHeight="1">
      <c r="A930" s="201"/>
      <c r="B930" s="201"/>
    </row>
    <row r="931" ht="22.5" customHeight="1">
      <c r="A931" s="201"/>
      <c r="B931" s="201"/>
    </row>
    <row r="932" ht="22.5" customHeight="1">
      <c r="A932" s="201"/>
      <c r="B932" s="201"/>
    </row>
    <row r="933" ht="22.5" customHeight="1">
      <c r="A933" s="201"/>
      <c r="B933" s="201"/>
    </row>
    <row r="934" ht="22.5" customHeight="1">
      <c r="A934" s="201"/>
      <c r="B934" s="201"/>
    </row>
    <row r="935" ht="22.5" customHeight="1">
      <c r="A935" s="201"/>
      <c r="B935" s="201"/>
    </row>
    <row r="936" ht="22.5" customHeight="1">
      <c r="A936" s="201"/>
      <c r="B936" s="201"/>
    </row>
    <row r="937" ht="22.5" customHeight="1">
      <c r="A937" s="201"/>
      <c r="B937" s="201"/>
    </row>
    <row r="938" ht="22.5" customHeight="1">
      <c r="A938" s="201"/>
      <c r="B938" s="201"/>
    </row>
    <row r="939" ht="22.5" customHeight="1">
      <c r="A939" s="201"/>
      <c r="B939" s="201"/>
    </row>
    <row r="940" ht="22.5" customHeight="1">
      <c r="A940" s="201"/>
      <c r="B940" s="201"/>
    </row>
    <row r="941" ht="22.5" customHeight="1">
      <c r="A941" s="201"/>
      <c r="B941" s="201"/>
    </row>
    <row r="942" ht="22.5" customHeight="1">
      <c r="A942" s="201"/>
      <c r="B942" s="201"/>
    </row>
    <row r="943" ht="22.5" customHeight="1">
      <c r="A943" s="201"/>
      <c r="B943" s="201"/>
    </row>
    <row r="944" ht="22.5" customHeight="1">
      <c r="A944" s="201"/>
      <c r="B944" s="201"/>
    </row>
    <row r="945" ht="22.5" customHeight="1">
      <c r="A945" s="201"/>
      <c r="B945" s="201"/>
    </row>
    <row r="946" ht="22.5" customHeight="1">
      <c r="A946" s="201"/>
      <c r="B946" s="201"/>
    </row>
    <row r="947" ht="22.5" customHeight="1">
      <c r="A947" s="201"/>
      <c r="B947" s="201"/>
    </row>
    <row r="948" ht="22.5" customHeight="1">
      <c r="A948" s="201"/>
      <c r="B948" s="201"/>
    </row>
    <row r="949" ht="22.5" customHeight="1">
      <c r="A949" s="201"/>
      <c r="B949" s="201"/>
    </row>
    <row r="950" ht="22.5" customHeight="1">
      <c r="A950" s="201"/>
      <c r="B950" s="201"/>
    </row>
    <row r="951" ht="22.5" customHeight="1">
      <c r="A951" s="201"/>
      <c r="B951" s="201"/>
    </row>
    <row r="952" ht="22.5" customHeight="1">
      <c r="A952" s="201"/>
      <c r="B952" s="201"/>
    </row>
    <row r="953" ht="22.5" customHeight="1">
      <c r="A953" s="201"/>
      <c r="B953" s="201"/>
    </row>
    <row r="954" ht="22.5" customHeight="1">
      <c r="A954" s="201"/>
      <c r="B954" s="201"/>
    </row>
    <row r="955" ht="22.5" customHeight="1">
      <c r="A955" s="201"/>
      <c r="B955" s="201"/>
    </row>
    <row r="956" ht="22.5" customHeight="1">
      <c r="A956" s="201"/>
      <c r="B956" s="201"/>
    </row>
    <row r="957" ht="22.5" customHeight="1">
      <c r="A957" s="201"/>
      <c r="B957" s="201"/>
    </row>
    <row r="958" ht="22.5" customHeight="1">
      <c r="A958" s="201"/>
      <c r="B958" s="201"/>
    </row>
    <row r="959" ht="22.5" customHeight="1">
      <c r="A959" s="201"/>
      <c r="B959" s="201"/>
    </row>
    <row r="960" ht="22.5" customHeight="1">
      <c r="A960" s="201"/>
      <c r="B960" s="201"/>
    </row>
    <row r="961" ht="22.5" customHeight="1">
      <c r="A961" s="201"/>
      <c r="B961" s="201"/>
    </row>
    <row r="962" ht="22.5" customHeight="1">
      <c r="A962" s="201"/>
      <c r="B962" s="201"/>
    </row>
    <row r="963" ht="22.5" customHeight="1">
      <c r="A963" s="201"/>
      <c r="B963" s="201"/>
    </row>
    <row r="964" ht="22.5" customHeight="1">
      <c r="A964" s="201"/>
      <c r="B964" s="201"/>
    </row>
    <row r="965" ht="22.5" customHeight="1">
      <c r="A965" s="201"/>
      <c r="B965" s="201"/>
    </row>
    <row r="966" ht="22.5" customHeight="1">
      <c r="A966" s="201"/>
      <c r="B966" s="201"/>
    </row>
    <row r="967" ht="22.5" customHeight="1">
      <c r="A967" s="201"/>
      <c r="B967" s="201"/>
    </row>
    <row r="968" ht="22.5" customHeight="1">
      <c r="A968" s="201"/>
      <c r="B968" s="201"/>
    </row>
    <row r="969" ht="22.5" customHeight="1">
      <c r="A969" s="201"/>
      <c r="B969" s="201"/>
    </row>
    <row r="970" ht="22.5" customHeight="1">
      <c r="A970" s="201"/>
      <c r="B970" s="201"/>
    </row>
    <row r="971" ht="22.5" customHeight="1">
      <c r="A971" s="201"/>
      <c r="B971" s="201"/>
    </row>
    <row r="972" ht="22.5" customHeight="1">
      <c r="A972" s="201"/>
      <c r="B972" s="201"/>
    </row>
    <row r="973" ht="22.5" customHeight="1">
      <c r="A973" s="201"/>
      <c r="B973" s="201"/>
    </row>
    <row r="974" ht="22.5" customHeight="1">
      <c r="A974" s="201"/>
      <c r="B974" s="201"/>
    </row>
    <row r="975" ht="22.5" customHeight="1">
      <c r="A975" s="201"/>
      <c r="B975" s="201"/>
    </row>
    <row r="976" ht="22.5" customHeight="1">
      <c r="A976" s="201"/>
      <c r="B976" s="201"/>
    </row>
    <row r="977" ht="22.5" customHeight="1">
      <c r="A977" s="201"/>
      <c r="B977" s="201"/>
    </row>
    <row r="978" ht="22.5" customHeight="1">
      <c r="A978" s="201"/>
      <c r="B978" s="201"/>
    </row>
    <row r="979" ht="22.5" customHeight="1">
      <c r="A979" s="201"/>
      <c r="B979" s="201"/>
    </row>
    <row r="980" ht="22.5" customHeight="1">
      <c r="A980" s="201"/>
      <c r="B980" s="201"/>
    </row>
    <row r="981" ht="22.5" customHeight="1">
      <c r="A981" s="201"/>
      <c r="B981" s="201"/>
    </row>
    <row r="982" ht="22.5" customHeight="1">
      <c r="A982" s="201"/>
      <c r="B982" s="201"/>
    </row>
    <row r="983" ht="22.5" customHeight="1">
      <c r="A983" s="201"/>
      <c r="B983" s="201"/>
    </row>
    <row r="984" ht="22.5" customHeight="1">
      <c r="A984" s="201"/>
      <c r="B984" s="201"/>
    </row>
    <row r="985" ht="22.5" customHeight="1">
      <c r="A985" s="201"/>
      <c r="B985" s="201"/>
    </row>
    <row r="986" ht="22.5" customHeight="1">
      <c r="A986" s="201"/>
      <c r="B986" s="201"/>
    </row>
    <row r="987" ht="22.5" customHeight="1">
      <c r="A987" s="201"/>
      <c r="B987" s="201"/>
    </row>
    <row r="988" ht="22.5" customHeight="1">
      <c r="A988" s="201"/>
      <c r="B988" s="201"/>
    </row>
    <row r="989" ht="22.5" customHeight="1">
      <c r="A989" s="201"/>
      <c r="B989" s="201"/>
    </row>
    <row r="990" ht="22.5" customHeight="1">
      <c r="A990" s="201"/>
      <c r="B990" s="201"/>
    </row>
    <row r="991" ht="22.5" customHeight="1">
      <c r="A991" s="201"/>
      <c r="B991" s="201"/>
    </row>
    <row r="992" ht="22.5" customHeight="1">
      <c r="A992" s="201"/>
      <c r="B992" s="201"/>
    </row>
    <row r="993" ht="22.5" customHeight="1">
      <c r="A993" s="201"/>
      <c r="B993" s="201"/>
    </row>
    <row r="994" ht="22.5" customHeight="1">
      <c r="A994" s="201"/>
      <c r="B994" s="201"/>
    </row>
    <row r="995" ht="22.5" customHeight="1">
      <c r="A995" s="201"/>
      <c r="B995" s="201"/>
    </row>
    <row r="996" ht="22.5" customHeight="1">
      <c r="A996" s="201"/>
      <c r="B996" s="201"/>
    </row>
    <row r="997" ht="22.5" customHeight="1">
      <c r="A997" s="201"/>
      <c r="B997" s="201"/>
    </row>
    <row r="998" ht="22.5" customHeight="1">
      <c r="A998" s="201"/>
      <c r="B998" s="201"/>
    </row>
    <row r="999" ht="22.5" customHeight="1">
      <c r="A999" s="201"/>
      <c r="B999" s="201"/>
    </row>
  </sheetData>
  <mergeCells count="1">
    <mergeCell ref="A1:B1"/>
  </mergeCells>
  <drawing r:id="rId1"/>
</worksheet>
</file>